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uimi\Desktop\"/>
    </mc:Choice>
  </mc:AlternateContent>
  <xr:revisionPtr revIDLastSave="0" documentId="13_ncr:1_{46E3FF21-5D1A-409F-91C6-B9E821847FEE}" xr6:coauthVersionLast="47" xr6:coauthVersionMax="47" xr10:uidLastSave="{00000000-0000-0000-0000-000000000000}"/>
  <bookViews>
    <workbookView xWindow="-110" yWindow="-110" windowWidth="19420" windowHeight="12220" firstSheet="1" activeTab="2" xr2:uid="{00000000-000D-0000-FFFF-FFFF00000000}"/>
  </bookViews>
  <sheets>
    <sheet name="Portada" sheetId="1" r:id="rId1"/>
    <sheet name="Plan de prueba" sheetId="3" r:id="rId2"/>
    <sheet name="Control" sheetId="4" r:id="rId3"/>
    <sheet name="Datos" sheetId="5" r:id="rId4"/>
    <sheet name="Datos del pla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D10" i="4"/>
  <c r="D9" i="4"/>
  <c r="D8" i="4"/>
  <c r="D7" i="4"/>
  <c r="D6" i="4"/>
  <c r="G3" i="3"/>
  <c r="F23" i="4" l="1"/>
  <c r="D13" i="4"/>
  <c r="D14" i="4" s="1"/>
</calcChain>
</file>

<file path=xl/sharedStrings.xml><?xml version="1.0" encoding="utf-8"?>
<sst xmlns="http://schemas.openxmlformats.org/spreadsheetml/2006/main" count="302" uniqueCount="167">
  <si>
    <t xml:space="preserve"> </t>
  </si>
  <si>
    <t>ID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</si>
  <si>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</si>
  <si>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</si>
  <si>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</si>
  <si>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</si>
  <si>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</si>
  <si>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</si>
  <si>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</si>
  <si>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</si>
  <si>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</si>
  <si>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Resultado</t>
  </si>
  <si>
    <t>Candidato a automatizar</t>
  </si>
  <si>
    <t>Responsable ejecución</t>
  </si>
  <si>
    <t>Casos</t>
  </si>
  <si>
    <t>OK</t>
  </si>
  <si>
    <t>NOK</t>
  </si>
  <si>
    <t>No ejecutado</t>
  </si>
  <si>
    <t>Bloqueado</t>
  </si>
  <si>
    <t>Obsoleto</t>
  </si>
  <si>
    <t>Total de casos</t>
  </si>
  <si>
    <t>% de  avance</t>
  </si>
  <si>
    <t>Total Casos</t>
  </si>
  <si>
    <t>Funcional</t>
  </si>
  <si>
    <t>Caja Negra</t>
  </si>
  <si>
    <t>No Funcional</t>
  </si>
  <si>
    <t>Caja Blanca</t>
  </si>
  <si>
    <t>Completar</t>
  </si>
  <si>
    <t>Hibrido</t>
  </si>
  <si>
    <t>Baja</t>
  </si>
  <si>
    <t>SI</t>
  </si>
  <si>
    <t>Media</t>
  </si>
  <si>
    <t>NO</t>
  </si>
  <si>
    <t>UAT</t>
  </si>
  <si>
    <t>Alta</t>
  </si>
  <si>
    <t>Código</t>
  </si>
  <si>
    <t>End to End</t>
  </si>
  <si>
    <t>Stress</t>
  </si>
  <si>
    <t>Rendimiento</t>
  </si>
  <si>
    <t>Carga</t>
  </si>
  <si>
    <t>Plan de pruebas — Sistema Unidad Territorial (SUT)</t>
  </si>
  <si>
    <t>SUT</t>
  </si>
  <si>
    <t>SUT_001</t>
  </si>
  <si>
    <t>Login válido redirige al panel privado</t>
  </si>
  <si>
    <t>El usuario autenticado es redirigido al panel privado.</t>
  </si>
  <si>
    <t>Usuario de prueba registrado y activo.</t>
  </si>
  <si>
    <t>El login responde correctamente y redirige al panel.</t>
  </si>
  <si>
    <t>Usuario autenticado de prueba.</t>
  </si>
  <si>
    <t>Usuarios / RBAC</t>
  </si>
  <si>
    <t>Con credenciales válidas, el usuario debe ingresar al panel.</t>
  </si>
  <si>
    <t>Ignacio Salas</t>
  </si>
  <si>
    <t>Usuario anónimo no accede al panel privado</t>
  </si>
  <si>
    <t>El sistema redirige al login y no muestra el panel.</t>
  </si>
  <si>
    <t>Usuario sin sesión iniciada.</t>
  </si>
  <si>
    <t>La solicitud al panel es redirigida al login.</t>
  </si>
  <si>
    <t>Sesión anónima.</t>
  </si>
  <si>
    <t>Un usuario no autenticado no debe acceder a áreas privadas.</t>
  </si>
  <si>
    <t>SUT_003</t>
  </si>
  <si>
    <t>Vecino común no accede a zona de miembro de junta</t>
  </si>
  <si>
    <t>El sistema rechaza el acceso con HTTP 403.</t>
  </si>
  <si>
    <t>Usuario autenticado con perfil Vecino y miembro_junta=False.</t>
  </si>
  <si>
    <t>El acceso es rechazado con HTTP 403.</t>
  </si>
  <si>
    <t>Rol funcional: Vecino común.</t>
  </si>
  <si>
    <t>Sólo usuarios autorizados pueden acceder a la zona de miembros.</t>
  </si>
  <si>
    <t>SUT_004</t>
  </si>
  <si>
    <t>Miembro de junta puede postular un proyecto</t>
  </si>
  <si>
    <t>Se crea un proyecto asociado al vecino autenticado y queda PENDIENTE.</t>
  </si>
  <si>
    <t>Usuario autenticado con perfil Vecino y miembro_junta=True.</t>
  </si>
  <si>
    <t>El proyecto se crea, se asocia al vecino y conserva estado PENDIENTE.</t>
  </si>
  <si>
    <t>Título: Mejoramiento plaza; descripción de prueba.</t>
  </si>
  <si>
    <t>Proyectos</t>
  </si>
  <si>
    <t>Un miembro de junta autorizado puede postular proyectos; el estado inicial debe ser PENDIENTE.</t>
  </si>
  <si>
    <t>SUT_005</t>
  </si>
  <si>
    <t>Vecino común no puede postular proyectos</t>
  </si>
  <si>
    <t>La vista de postulación responde HTTP 403.</t>
  </si>
  <si>
    <t>Sólo miembros de la junta pueden postular proyectos.</t>
  </si>
  <si>
    <t>SUT_006</t>
  </si>
  <si>
    <t>Usuario no puede forzar estado APROBADO al postular</t>
  </si>
  <si>
    <t>El proyecto se guarda en PENDIENTE aunque se envíe un estado manipulado.</t>
  </si>
  <si>
    <t>Miembro de junta autenticado con permiso para postular.</t>
  </si>
  <si>
    <t>El proyecto queda en PENDIENTE; el estado enviado por el cliente es ignorado.</t>
  </si>
  <si>
    <t>POST con estado=APROBADO manipulado.</t>
  </si>
  <si>
    <t>El estado inicial debe ser controlado por el servidor y no por el usuario.</t>
  </si>
  <si>
    <t>SUT_007</t>
  </si>
  <si>
    <t>Usuario sólo visualiza sus propios proyectos</t>
  </si>
  <si>
    <t>El listado muestra proyectos propios y oculta los pertenecientes a otros vecinos.</t>
  </si>
  <si>
    <t>Dos miembros con proyectos distintos registrados.</t>
  </si>
  <si>
    <t>Se muestra Proyecto A y no se muestra Proyecto B al usuario A.</t>
  </si>
  <si>
    <t>Proyecto A de usuario A; Proyecto B de usuario B.</t>
  </si>
  <si>
    <t>Cada usuario sólo debe visualizar sus propios proyectos.</t>
  </si>
  <si>
    <t>SUT_008</t>
  </si>
  <si>
    <t>Directiva puede aprobar un proyecto pendiente</t>
  </si>
  <si>
    <t>El proyecto cambia de PENDIENTE a APROBADO.</t>
  </si>
  <si>
    <t>Proyecto PENDIENTE y usuario Directiva autenticado.</t>
  </si>
  <si>
    <t>La resolución se procesa y el estado final es APROBADO.</t>
  </si>
  <si>
    <t>Acción: aprobar.</t>
  </si>
  <si>
    <t>Personal autorizado puede aprobar proyectos pendientes.</t>
  </si>
  <si>
    <t>SUT_009</t>
  </si>
  <si>
    <t>Directiva puede rechazar un proyecto pendiente</t>
  </si>
  <si>
    <t>El proyecto cambia de PENDIENTE a RECHAZADO.</t>
  </si>
  <si>
    <t>La resolución se procesa y el estado final es RECHAZADO.</t>
  </si>
  <si>
    <t>Acción: rechazar.</t>
  </si>
  <si>
    <t>Personal autorizado puede rechazar proyectos pendientes.</t>
  </si>
  <si>
    <t>SUT_010</t>
  </si>
  <si>
    <t>Proyecto resuelto no puede resolverse nuevamente</t>
  </si>
  <si>
    <t>El sistema rechaza una segunda resolución y conserva el estado anterior.</t>
  </si>
  <si>
    <t>Proyecto previamente APROBADO y usuario Directiva autenticado.</t>
  </si>
  <si>
    <t>La segunda resolución responde HTTP 400 y el proyecto permanece APROBADO.</t>
  </si>
  <si>
    <t>Intento de cambiar APROBADO a RECHAZADO.</t>
  </si>
  <si>
    <t>Un proyecto ya resuelto no debe cambiar de estado por una segunda resolución.</t>
  </si>
  <si>
    <t>SUT_011</t>
  </si>
  <si>
    <t>Resolución de proyecto genera notificación por correo</t>
  </si>
  <si>
    <t>Se genera un correo al solicitante con la resolución correspondiente.</t>
  </si>
  <si>
    <t>Proyecto con solicitante que posee email y usuario Directiva autenticado.</t>
  </si>
  <si>
    <t>Se genera un correo al destinatario esperado con proyecto y resolución en el contenido.</t>
  </si>
  <si>
    <t>Email de prueba: vecino@example.com.</t>
  </si>
  <si>
    <t>La resolución debe generar una notificación por correo al solicitante.</t>
  </si>
  <si>
    <t>SUT_012</t>
  </si>
  <si>
    <t>Vecino puede solicitar certificado de residencia</t>
  </si>
  <si>
    <t>Se crea una solicitud asociada al vecino y queda PENDIENTE.</t>
  </si>
  <si>
    <t>Usuario autenticado con perfil Vecino.</t>
  </si>
  <si>
    <t>La solicitud se crea correctamente y queda en estado PENDIENTE.</t>
  </si>
  <si>
    <t>Vecino autenticado de prueba.</t>
  </si>
  <si>
    <t>Certificados</t>
  </si>
  <si>
    <t>Un vecino autenticado puede crear una solicitud de certificado.</t>
  </si>
  <si>
    <t>SUT_013</t>
  </si>
  <si>
    <t>Usuario sin perfil Vecino no puede solicitar certificado</t>
  </si>
  <si>
    <t>El sistema impide crear la solicitud.</t>
  </si>
  <si>
    <t>Usuario autenticado sin perfil Vecino asociado.</t>
  </si>
  <si>
    <t>La solicitud no se crea y el acceso es rechazado según la regla del flujo.</t>
  </si>
  <si>
    <t>Usuario autenticado sin Vecino.</t>
  </si>
  <si>
    <t>Sólo usuarios asociados a un Vecino pueden solicitar certificados.</t>
  </si>
  <si>
    <t>SUT_014</t>
  </si>
  <si>
    <t>Vecino sólo visualiza sus propias solicitudes</t>
  </si>
  <si>
    <t>El listado muestra solicitudes propias y oculta las de otros vecinos.</t>
  </si>
  <si>
    <t>Dos vecinos con solicitudes distintas registradas.</t>
  </si>
  <si>
    <t>El usuario A visualiza su solicitud y no la solicitud del usuario B.</t>
  </si>
  <si>
    <t>Solicitud A de vecino A; Solicitud B de vecino B.</t>
  </si>
  <si>
    <t>Cada vecino sólo debe visualizar sus propias solicitudes.</t>
  </si>
  <si>
    <t>SUT_015</t>
  </si>
  <si>
    <t>Directiva puede aprobar o rechazar solicitudes</t>
  </si>
  <si>
    <t>Una solicitud pendiente puede cambiar a APROBADA o RECHAZADA mediante personal autorizado.</t>
  </si>
  <si>
    <t>Solicitud PENDIENTE y usuario Directiva autenticado.</t>
  </si>
  <si>
    <t>Las pruebas verifican correctamente ambas transiciones: APROBADA y RECHAZADA.</t>
  </si>
  <si>
    <t>Acciones probadas: aprobar y rechazar.</t>
  </si>
  <si>
    <t>La Directiva debe poder resolver solicitudes pendientes con estados válidos.</t>
  </si>
  <si>
    <t>SUT_016</t>
  </si>
  <si>
    <t>Emisión de certificado respeta estado y evita duplicados</t>
  </si>
  <si>
    <t>Sólo una solicitud APROBADA puede emitirse; solicitudes rechazadas o ya emitidas deben bloquearse.</t>
  </si>
  <si>
    <t>Usuario Directiva autenticado; solicitudes en estados APROBADA o RECHAZADA.</t>
  </si>
  <si>
    <t>La aprobada genera un Certificado y pasa a EMITIDA; rechazada y segunda emisión responden HTTP 400.</t>
  </si>
  <si>
    <t>Solicitud aprobada, solicitud rechazada y segundo intento de emisión.</t>
  </si>
  <si>
    <t>La emisión debe respetar el estado previo y no crear certificados duplicados.</t>
  </si>
  <si>
    <t>SUT_017</t>
  </si>
  <si>
    <t>E2E proyecto: postulación → resolución → notificación</t>
  </si>
  <si>
    <t>Un miembro postula; Directiva resuelve; el solicitante recibe la notificación correspondiente.</t>
  </si>
  <si>
    <t>Usuarios de prueba, navegador E2E y entorno SUT disponible.</t>
  </si>
  <si>
    <t>Pendiente de ejecución con navegador; el flujo está cubierto por pruebas funcionales/integradas separadas.</t>
  </si>
  <si>
    <t>Miembro de junta + Directiva + email de prueba.</t>
  </si>
  <si>
    <t>El recorrido completo debe finalizar con proyecto resuelto y notificación generada.</t>
  </si>
  <si>
    <t>SUT_018</t>
  </si>
  <si>
    <t>E2E certificado: solicitud → aprobación → emisión</t>
  </si>
  <si>
    <t>Un vecino solicita; Directiva aprueba; el certificado queda emitido una sola vez.</t>
  </si>
  <si>
    <t>Vecino + Directiva + solicitud de certificado.</t>
  </si>
  <si>
    <t>El recorrido completo debe finalizar con solicitud EMITIDA y un único certificado asociado.</t>
  </si>
  <si>
    <t xml:space="preserve">Integrante: Ignacio Salas
</t>
  </si>
  <si>
    <t>Total de casos ejecutados por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</si>
</sst>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</font>
    <font>
      <sz val="11"/>
      <color theme="1"/>
      <name val="Calibri"/>
    </font>
    <font>
      <sz val="24"/>
      <color theme="1"/>
      <name val="Calibri"/>
    </font>
    <font>
      <sz val="11"/>
      <name val="Calibri"/>
    </font>
    <font>
      <sz val="11"/>
      <color rgb="FF000000"/>
      <name val="Inconsolata"/>
    </font>
    <font>
      <sz val="9"/>
      <color rgb="FF000000"/>
      <name val="Calibri"/>
    </font>
    <font>
      <sz val="2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0" borderId="0" xfId="0" applyFont="1"/>
    <xf numFmtId="0" fontId="1" fillId="3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4" borderId="1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" fontId="0" fillId="4" borderId="18" xfId="0" applyNumberForma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2" borderId="7" xfId="0" applyFill="1" applyBorder="1" applyAlignment="1">
      <alignment horizontal="left" vertical="top" wrapText="1"/>
    </xf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9" fillId="0" borderId="0" xfId="0" applyFont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1" fillId="2" borderId="2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4" fontId="6" fillId="2" borderId="28" xfId="0" applyNumberFormat="1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64" fontId="6" fillId="2" borderId="2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Avance del proceso de ejecución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16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66-462F-ABF1-E4B37DC52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296432"/>
        <c:axId val="2024180122"/>
      </c:barChart>
      <c:catAx>
        <c:axId val="1994296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2024180122"/>
        <c:crosses val="autoZero"/>
        <c:auto val="1"/>
        <c:lblAlgn val="ctr"/>
        <c:lblOffset val="100"/>
        <c:noMultiLvlLbl val="0"/>
      </c:catAx>
      <c:valAx>
        <c:axId val="20241801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199429643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Total de casos ejecutados por responsable</a:t>
            </a:r>
          </a:p>
        </c:rich>
      </c:tx>
      <c:layout>
        <c:manualLayout>
          <c:xMode val="edge"/>
          <c:yMode val="edge"/>
          <c:x val="0.11578853660816422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817-469C-A65B-49CBE4347ABD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817-469C-A65B-49CBE4347ABD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817-469C-A65B-49CBE4347ABD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817-469C-A65B-49CBE4347ABD}"/>
              </c:ext>
            </c:extLst>
          </c:dPt>
          <c:cat>
            <c:strRef>
              <c:f>Control!$D$18:$D$21</c:f>
              <c:strCache>
                <c:ptCount val="1"/>
                <c:pt idx="0">
                  <c:v>Ignacio Salas</c:v>
                </c:pt>
              </c:strCache>
            </c:strRef>
          </c:cat>
          <c:val>
            <c:numRef>
              <c:f>Control!$E$18:$E$21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9817-469C-A65B-49CBE4347ABD}"/>
            </c:ext>
          </c:extLst>
        </c:ser>
        <c:ser>
          <c:idx val="1"/>
          <c:order val="1"/>
          <c:invertIfNegative val="1"/>
          <c:cat>
            <c:strRef>
              <c:f>Control!$D$18:$D$21</c:f>
              <c:strCache>
                <c:ptCount val="1"/>
                <c:pt idx="0">
                  <c:v>Ignacio Salas</c:v>
                </c:pt>
              </c:strCache>
            </c:strRef>
          </c:cat>
          <c:val>
            <c:numRef>
              <c:f>Control!$F$18:$F$21</c:f>
              <c:numCache>
                <c:formatCode>General</c:formatCode>
                <c:ptCount val="4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17-469C-A65B-49CBE4347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2035930"/>
        <c:axId val="954254991"/>
      </c:barChart>
      <c:catAx>
        <c:axId val="15020359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954254991"/>
        <c:crosses val="autoZero"/>
        <c:auto val="1"/>
        <c:lblAlgn val="ctr"/>
        <c:lblOffset val="100"/>
        <c:noMultiLvlLbl val="0"/>
      </c:catAx>
      <c:valAx>
        <c:axId val="95425499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anchorCtr="1"/>
          <a:lstStyle/>
          <a:p>
            <a:pPr>
              <a:defRPr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150203593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0</xdr:row>
      <xdr:rowOff>57150</xdr:rowOff>
    </xdr:from>
    <xdr:ext cx="5626100" cy="31242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104775</xdr:colOff>
      <xdr:row>17</xdr:row>
      <xdr:rowOff>111124</xdr:rowOff>
    </xdr:from>
    <xdr:ext cx="5616575" cy="2854325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" workbookViewId="0">
      <selection activeCell="E35" sqref="E35:I39"/>
    </sheetView>
  </sheetViews>
  <sheetFormatPr baseColWidth="10" defaultColWidth="14.453125" defaultRowHeight="14.5" x14ac:dyDescent="0.35"/>
  <cols>
    <col min="1" max="3" width="3.26953125" customWidth="1"/>
    <col min="4" max="10" width="9.453125" customWidth="1"/>
    <col min="11" max="12" width="3.26953125" customWidth="1"/>
    <col min="13" max="25" width="10.7265625" customWidth="1"/>
  </cols>
  <sheetData>
    <row r="1" spans="1:26" ht="9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5" customHeight="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5" customHeight="1" x14ac:dyDescent="0.35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5" customHeight="1" x14ac:dyDescent="0.35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5" customHeight="1" x14ac:dyDescent="0.35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5" customHeight="1" x14ac:dyDescent="0.35">
      <c r="A6" s="1"/>
      <c r="B6" s="5"/>
      <c r="C6" s="5"/>
      <c r="D6" s="1"/>
      <c r="E6" s="38" t="s">
        <v>40</v>
      </c>
      <c r="F6" s="39"/>
      <c r="G6" s="39"/>
      <c r="H6" s="39"/>
      <c r="I6" s="40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5" customHeight="1" x14ac:dyDescent="0.35">
      <c r="A7" s="1"/>
      <c r="B7" s="5"/>
      <c r="C7" s="5"/>
      <c r="D7" s="1"/>
      <c r="E7" s="41"/>
      <c r="F7" s="42"/>
      <c r="G7" s="42"/>
      <c r="H7" s="42"/>
      <c r="I7" s="43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5" customHeight="1" x14ac:dyDescent="0.35">
      <c r="A8" s="1"/>
      <c r="B8" s="5"/>
      <c r="C8" s="5"/>
      <c r="D8" s="1"/>
      <c r="E8" s="41"/>
      <c r="F8" s="42"/>
      <c r="G8" s="42"/>
      <c r="H8" s="42"/>
      <c r="I8" s="43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5" customHeight="1" x14ac:dyDescent="0.35">
      <c r="A9" s="1"/>
      <c r="B9" s="5"/>
      <c r="C9" s="5"/>
      <c r="D9" s="1"/>
      <c r="E9" s="41"/>
      <c r="F9" s="42"/>
      <c r="G9" s="42"/>
      <c r="H9" s="42"/>
      <c r="I9" s="43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5" customHeight="1" x14ac:dyDescent="0.35">
      <c r="A10" s="1"/>
      <c r="B10" s="5"/>
      <c r="C10" s="5"/>
      <c r="D10" s="1"/>
      <c r="E10" s="44"/>
      <c r="F10" s="45"/>
      <c r="G10" s="45"/>
      <c r="H10" s="45"/>
      <c r="I10" s="46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5" customHeight="1" x14ac:dyDescent="0.35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5" customHeight="1" x14ac:dyDescent="0.35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5" customHeight="1" x14ac:dyDescent="0.35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5" customHeight="1" x14ac:dyDescent="0.35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5" customHeight="1" x14ac:dyDescent="0.35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5" customHeight="1" x14ac:dyDescent="0.35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5" customHeight="1" x14ac:dyDescent="0.35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5" customHeight="1" x14ac:dyDescent="0.35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5" customHeight="1" x14ac:dyDescent="0.35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5" customHeight="1" x14ac:dyDescent="0.35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5" customHeight="1" x14ac:dyDescent="0.35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5" customHeight="1" x14ac:dyDescent="0.35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5" customHeight="1" x14ac:dyDescent="0.35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5" customHeight="1" x14ac:dyDescent="0.35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5" customHeight="1" x14ac:dyDescent="0.35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5" customHeight="1" x14ac:dyDescent="0.35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5" customHeight="1" x14ac:dyDescent="0.35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5" customHeight="1" x14ac:dyDescent="0.35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5" customHeight="1" x14ac:dyDescent="0.35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5" customHeight="1" x14ac:dyDescent="0.35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5" customHeight="1" x14ac:dyDescent="0.35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5" customHeight="1" x14ac:dyDescent="0.35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5" customHeight="1" x14ac:dyDescent="0.35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5" customHeight="1" x14ac:dyDescent="0.35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" customHeight="1" x14ac:dyDescent="0.35">
      <c r="A35" s="1"/>
      <c r="B35" s="5"/>
      <c r="C35" s="5"/>
      <c r="D35" s="1"/>
      <c r="E35" s="47" t="s">
        <v>165</v>
      </c>
      <c r="F35" s="48"/>
      <c r="G35" s="48"/>
      <c r="H35" s="48"/>
      <c r="I35" s="49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" customHeight="1" x14ac:dyDescent="0.35">
      <c r="A36" s="1"/>
      <c r="B36" s="5"/>
      <c r="C36" s="5"/>
      <c r="D36" s="1"/>
      <c r="E36" s="50"/>
      <c r="F36" s="51"/>
      <c r="G36" s="51"/>
      <c r="H36" s="51"/>
      <c r="I36" s="52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" customHeight="1" x14ac:dyDescent="0.35">
      <c r="A37" s="1"/>
      <c r="B37" s="5"/>
      <c r="C37" s="5"/>
      <c r="D37" s="1"/>
      <c r="E37" s="50"/>
      <c r="F37" s="51"/>
      <c r="G37" s="51"/>
      <c r="H37" s="51"/>
      <c r="I37" s="52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1" customHeight="1" x14ac:dyDescent="0.35">
      <c r="A38" s="1"/>
      <c r="B38" s="5"/>
      <c r="C38" s="5"/>
      <c r="D38" s="1"/>
      <c r="E38" s="50"/>
      <c r="F38" s="51"/>
      <c r="G38" s="51"/>
      <c r="H38" s="51"/>
      <c r="I38" s="52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1" customHeight="1" x14ac:dyDescent="0.35">
      <c r="A39" s="1"/>
      <c r="B39" s="5"/>
      <c r="C39" s="5"/>
      <c r="D39" s="1"/>
      <c r="E39" s="53"/>
      <c r="F39" s="54"/>
      <c r="G39" s="54"/>
      <c r="H39" s="54"/>
      <c r="I39" s="55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" customHeight="1" x14ac:dyDescent="0.35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5" customHeight="1" x14ac:dyDescent="0.35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5" customHeight="1" x14ac:dyDescent="0.35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5" customHeight="1" x14ac:dyDescent="0.35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5" customHeight="1" x14ac:dyDescent="0.35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9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35"/>
    <row r="237" spans="1:26" ht="10.5" customHeight="1" x14ac:dyDescent="0.35"/>
    <row r="238" spans="1:26" ht="10.5" customHeight="1" x14ac:dyDescent="0.35"/>
    <row r="239" spans="1:26" ht="10.5" customHeight="1" x14ac:dyDescent="0.35"/>
    <row r="240" spans="1:26" ht="10.5" customHeight="1" x14ac:dyDescent="0.35"/>
    <row r="241" ht="10.5" customHeight="1" x14ac:dyDescent="0.35"/>
    <row r="242" ht="10.5" customHeight="1" x14ac:dyDescent="0.35"/>
    <row r="243" ht="10.5" customHeight="1" x14ac:dyDescent="0.35"/>
    <row r="244" ht="10.5" customHeight="1" x14ac:dyDescent="0.35"/>
    <row r="245" ht="10.5" customHeight="1" x14ac:dyDescent="0.35"/>
    <row r="246" ht="10.5" customHeight="1" x14ac:dyDescent="0.35"/>
    <row r="247" ht="10.5" customHeight="1" x14ac:dyDescent="0.35"/>
    <row r="248" ht="10.5" customHeight="1" x14ac:dyDescent="0.35"/>
    <row r="249" ht="10.5" customHeight="1" x14ac:dyDescent="0.35"/>
    <row r="250" ht="10.5" customHeight="1" x14ac:dyDescent="0.35"/>
    <row r="251" ht="10.5" customHeight="1" x14ac:dyDescent="0.35"/>
    <row r="252" ht="10.5" customHeight="1" x14ac:dyDescent="0.35"/>
    <row r="253" ht="10.5" customHeight="1" x14ac:dyDescent="0.35"/>
    <row r="254" ht="10.5" customHeight="1" x14ac:dyDescent="0.35"/>
    <row r="255" ht="10.5" customHeight="1" x14ac:dyDescent="0.35"/>
    <row r="256" ht="10.5" customHeight="1" x14ac:dyDescent="0.35"/>
    <row r="257" ht="10.5" customHeight="1" x14ac:dyDescent="0.35"/>
    <row r="258" ht="10.5" customHeight="1" x14ac:dyDescent="0.35"/>
    <row r="259" ht="10.5" customHeight="1" x14ac:dyDescent="0.35"/>
    <row r="260" ht="10.5" customHeight="1" x14ac:dyDescent="0.35"/>
    <row r="261" ht="10.5" customHeight="1" x14ac:dyDescent="0.35"/>
    <row r="262" ht="10.5" customHeight="1" x14ac:dyDescent="0.35"/>
    <row r="263" ht="10.5" customHeight="1" x14ac:dyDescent="0.35"/>
    <row r="264" ht="10.5" customHeight="1" x14ac:dyDescent="0.35"/>
    <row r="265" ht="10.5" customHeight="1" x14ac:dyDescent="0.35"/>
    <row r="266" ht="10.5" customHeight="1" x14ac:dyDescent="0.35"/>
    <row r="267" ht="10.5" customHeight="1" x14ac:dyDescent="0.35"/>
    <row r="268" ht="10.5" customHeight="1" x14ac:dyDescent="0.35"/>
    <row r="269" ht="10.5" customHeight="1" x14ac:dyDescent="0.35"/>
    <row r="270" ht="10.5" customHeight="1" x14ac:dyDescent="0.35"/>
    <row r="271" ht="10.5" customHeight="1" x14ac:dyDescent="0.35"/>
    <row r="272" ht="10.5" customHeight="1" x14ac:dyDescent="0.35"/>
    <row r="273" ht="10.5" customHeight="1" x14ac:dyDescent="0.35"/>
    <row r="274" ht="10.5" customHeight="1" x14ac:dyDescent="0.35"/>
    <row r="275" ht="10.5" customHeight="1" x14ac:dyDescent="0.35"/>
    <row r="276" ht="10.5" customHeight="1" x14ac:dyDescent="0.35"/>
    <row r="277" ht="10.5" customHeight="1" x14ac:dyDescent="0.35"/>
    <row r="278" ht="10.5" customHeight="1" x14ac:dyDescent="0.35"/>
    <row r="279" ht="10.5" customHeight="1" x14ac:dyDescent="0.35"/>
    <row r="280" ht="10.5" customHeight="1" x14ac:dyDescent="0.35"/>
    <row r="281" ht="10.5" customHeight="1" x14ac:dyDescent="0.35"/>
    <row r="282" ht="10.5" customHeight="1" x14ac:dyDescent="0.35"/>
    <row r="283" ht="10.5" customHeight="1" x14ac:dyDescent="0.35"/>
    <row r="284" ht="10.5" customHeight="1" x14ac:dyDescent="0.35"/>
    <row r="285" ht="10.5" customHeight="1" x14ac:dyDescent="0.35"/>
    <row r="286" ht="10.5" customHeight="1" x14ac:dyDescent="0.35"/>
    <row r="287" ht="10.5" customHeight="1" x14ac:dyDescent="0.35"/>
    <row r="288" ht="10.5" customHeight="1" x14ac:dyDescent="0.35"/>
    <row r="289" ht="10.5" customHeight="1" x14ac:dyDescent="0.35"/>
    <row r="290" ht="10.5" customHeight="1" x14ac:dyDescent="0.35"/>
    <row r="291" ht="10.5" customHeight="1" x14ac:dyDescent="0.35"/>
    <row r="292" ht="10.5" customHeight="1" x14ac:dyDescent="0.35"/>
    <row r="293" ht="10.5" customHeight="1" x14ac:dyDescent="0.35"/>
    <row r="294" ht="10.5" customHeight="1" x14ac:dyDescent="0.35"/>
    <row r="295" ht="10.5" customHeight="1" x14ac:dyDescent="0.35"/>
    <row r="296" ht="10.5" customHeight="1" x14ac:dyDescent="0.35"/>
    <row r="297" ht="10.5" customHeight="1" x14ac:dyDescent="0.35"/>
    <row r="298" ht="10.5" customHeight="1" x14ac:dyDescent="0.35"/>
    <row r="299" ht="10.5" customHeight="1" x14ac:dyDescent="0.35"/>
    <row r="300" ht="10.5" customHeight="1" x14ac:dyDescent="0.35"/>
    <row r="301" ht="10.5" customHeight="1" x14ac:dyDescent="0.35"/>
    <row r="302" ht="10.5" customHeight="1" x14ac:dyDescent="0.35"/>
    <row r="303" ht="10.5" customHeight="1" x14ac:dyDescent="0.35"/>
    <row r="304" ht="10.5" customHeight="1" x14ac:dyDescent="0.35"/>
    <row r="305" ht="10.5" customHeight="1" x14ac:dyDescent="0.35"/>
    <row r="306" ht="10.5" customHeight="1" x14ac:dyDescent="0.35"/>
    <row r="307" ht="10.5" customHeight="1" x14ac:dyDescent="0.35"/>
    <row r="308" ht="10.5" customHeight="1" x14ac:dyDescent="0.35"/>
    <row r="309" ht="10.5" customHeight="1" x14ac:dyDescent="0.35"/>
    <row r="310" ht="10.5" customHeight="1" x14ac:dyDescent="0.35"/>
    <row r="311" ht="10.5" customHeight="1" x14ac:dyDescent="0.35"/>
    <row r="312" ht="10.5" customHeight="1" x14ac:dyDescent="0.35"/>
    <row r="313" ht="10.5" customHeight="1" x14ac:dyDescent="0.35"/>
    <row r="314" ht="10.5" customHeight="1" x14ac:dyDescent="0.35"/>
    <row r="315" ht="10.5" customHeight="1" x14ac:dyDescent="0.35"/>
    <row r="316" ht="10.5" customHeight="1" x14ac:dyDescent="0.35"/>
    <row r="317" ht="10.5" customHeight="1" x14ac:dyDescent="0.35"/>
    <row r="318" ht="10.5" customHeight="1" x14ac:dyDescent="0.35"/>
    <row r="319" ht="10.5" customHeight="1" x14ac:dyDescent="0.35"/>
    <row r="320" ht="10.5" customHeight="1" x14ac:dyDescent="0.35"/>
    <row r="321" ht="10.5" customHeight="1" x14ac:dyDescent="0.35"/>
    <row r="322" ht="10.5" customHeight="1" x14ac:dyDescent="0.35"/>
    <row r="323" ht="10.5" customHeight="1" x14ac:dyDescent="0.35"/>
    <row r="324" ht="10.5" customHeight="1" x14ac:dyDescent="0.35"/>
    <row r="325" ht="10.5" customHeight="1" x14ac:dyDescent="0.35"/>
    <row r="326" ht="10.5" customHeight="1" x14ac:dyDescent="0.35"/>
    <row r="327" ht="10.5" customHeight="1" x14ac:dyDescent="0.35"/>
    <row r="328" ht="10.5" customHeight="1" x14ac:dyDescent="0.35"/>
    <row r="329" ht="10.5" customHeight="1" x14ac:dyDescent="0.35"/>
    <row r="330" ht="10.5" customHeight="1" x14ac:dyDescent="0.35"/>
    <row r="331" ht="10.5" customHeight="1" x14ac:dyDescent="0.35"/>
    <row r="332" ht="10.5" customHeight="1" x14ac:dyDescent="0.35"/>
    <row r="333" ht="10.5" customHeight="1" x14ac:dyDescent="0.35"/>
    <row r="334" ht="10.5" customHeight="1" x14ac:dyDescent="0.35"/>
    <row r="335" ht="10.5" customHeight="1" x14ac:dyDescent="0.35"/>
    <row r="336" ht="10.5" customHeight="1" x14ac:dyDescent="0.35"/>
    <row r="337" ht="10.5" customHeight="1" x14ac:dyDescent="0.35"/>
    <row r="338" ht="10.5" customHeight="1" x14ac:dyDescent="0.35"/>
    <row r="339" ht="10.5" customHeight="1" x14ac:dyDescent="0.35"/>
    <row r="340" ht="10.5" customHeight="1" x14ac:dyDescent="0.35"/>
    <row r="341" ht="10.5" customHeight="1" x14ac:dyDescent="0.35"/>
    <row r="342" ht="10.5" customHeight="1" x14ac:dyDescent="0.35"/>
    <row r="343" ht="10.5" customHeight="1" x14ac:dyDescent="0.35"/>
    <row r="344" ht="10.5" customHeight="1" x14ac:dyDescent="0.35"/>
    <row r="345" ht="10.5" customHeight="1" x14ac:dyDescent="0.35"/>
    <row r="346" ht="10.5" customHeight="1" x14ac:dyDescent="0.35"/>
    <row r="347" ht="10.5" customHeight="1" x14ac:dyDescent="0.35"/>
    <row r="348" ht="10.5" customHeight="1" x14ac:dyDescent="0.35"/>
    <row r="349" ht="10.5" customHeight="1" x14ac:dyDescent="0.35"/>
    <row r="350" ht="10.5" customHeight="1" x14ac:dyDescent="0.35"/>
    <row r="351" ht="10.5" customHeight="1" x14ac:dyDescent="0.35"/>
    <row r="352" ht="10.5" customHeight="1" x14ac:dyDescent="0.35"/>
    <row r="353" ht="10.5" customHeight="1" x14ac:dyDescent="0.35"/>
    <row r="354" ht="10.5" customHeight="1" x14ac:dyDescent="0.35"/>
    <row r="355" ht="10.5" customHeight="1" x14ac:dyDescent="0.35"/>
    <row r="356" ht="10.5" customHeight="1" x14ac:dyDescent="0.35"/>
    <row r="357" ht="10.5" customHeight="1" x14ac:dyDescent="0.35"/>
    <row r="358" ht="10.5" customHeight="1" x14ac:dyDescent="0.35"/>
    <row r="359" ht="10.5" customHeight="1" x14ac:dyDescent="0.35"/>
    <row r="360" ht="10.5" customHeight="1" x14ac:dyDescent="0.35"/>
    <row r="361" ht="10.5" customHeight="1" x14ac:dyDescent="0.35"/>
    <row r="362" ht="10.5" customHeight="1" x14ac:dyDescent="0.35"/>
    <row r="363" ht="10.5" customHeight="1" x14ac:dyDescent="0.35"/>
    <row r="364" ht="10.5" customHeight="1" x14ac:dyDescent="0.35"/>
    <row r="365" ht="10.5" customHeight="1" x14ac:dyDescent="0.35"/>
    <row r="366" ht="10.5" customHeight="1" x14ac:dyDescent="0.35"/>
    <row r="367" ht="10.5" customHeight="1" x14ac:dyDescent="0.35"/>
    <row r="368" ht="10.5" customHeight="1" x14ac:dyDescent="0.35"/>
    <row r="369" ht="10.5" customHeight="1" x14ac:dyDescent="0.35"/>
    <row r="370" ht="10.5" customHeight="1" x14ac:dyDescent="0.35"/>
    <row r="371" ht="10.5" customHeight="1" x14ac:dyDescent="0.35"/>
    <row r="372" ht="10.5" customHeight="1" x14ac:dyDescent="0.35"/>
    <row r="373" ht="10.5" customHeight="1" x14ac:dyDescent="0.35"/>
    <row r="374" ht="10.5" customHeight="1" x14ac:dyDescent="0.35"/>
    <row r="375" ht="10.5" customHeight="1" x14ac:dyDescent="0.35"/>
    <row r="376" ht="10.5" customHeight="1" x14ac:dyDescent="0.35"/>
    <row r="377" ht="10.5" customHeight="1" x14ac:dyDescent="0.35"/>
    <row r="378" ht="10.5" customHeight="1" x14ac:dyDescent="0.35"/>
    <row r="379" ht="10.5" customHeight="1" x14ac:dyDescent="0.35"/>
    <row r="380" ht="10.5" customHeight="1" x14ac:dyDescent="0.35"/>
    <row r="381" ht="10.5" customHeight="1" x14ac:dyDescent="0.35"/>
    <row r="382" ht="10.5" customHeight="1" x14ac:dyDescent="0.35"/>
    <row r="383" ht="10.5" customHeight="1" x14ac:dyDescent="0.35"/>
    <row r="384" ht="10.5" customHeight="1" x14ac:dyDescent="0.35"/>
    <row r="385" ht="10.5" customHeight="1" x14ac:dyDescent="0.35"/>
    <row r="386" ht="10.5" customHeight="1" x14ac:dyDescent="0.35"/>
    <row r="387" ht="10.5" customHeight="1" x14ac:dyDescent="0.35"/>
    <row r="388" ht="10.5" customHeight="1" x14ac:dyDescent="0.35"/>
    <row r="389" ht="10.5" customHeight="1" x14ac:dyDescent="0.35"/>
    <row r="390" ht="10.5" customHeight="1" x14ac:dyDescent="0.35"/>
    <row r="391" ht="10.5" customHeight="1" x14ac:dyDescent="0.35"/>
    <row r="392" ht="10.5" customHeight="1" x14ac:dyDescent="0.35"/>
    <row r="393" ht="10.5" customHeight="1" x14ac:dyDescent="0.35"/>
    <row r="394" ht="10.5" customHeight="1" x14ac:dyDescent="0.35"/>
    <row r="395" ht="10.5" customHeight="1" x14ac:dyDescent="0.35"/>
    <row r="396" ht="10.5" customHeight="1" x14ac:dyDescent="0.35"/>
    <row r="397" ht="10.5" customHeight="1" x14ac:dyDescent="0.35"/>
    <row r="398" ht="10.5" customHeight="1" x14ac:dyDescent="0.35"/>
    <row r="399" ht="10.5" customHeight="1" x14ac:dyDescent="0.35"/>
    <row r="400" ht="10.5" customHeight="1" x14ac:dyDescent="0.35"/>
    <row r="401" ht="10.5" customHeight="1" x14ac:dyDescent="0.35"/>
    <row r="402" ht="10.5" customHeight="1" x14ac:dyDescent="0.35"/>
    <row r="403" ht="10.5" customHeight="1" x14ac:dyDescent="0.35"/>
    <row r="404" ht="10.5" customHeight="1" x14ac:dyDescent="0.35"/>
    <row r="405" ht="10.5" customHeight="1" x14ac:dyDescent="0.35"/>
    <row r="406" ht="10.5" customHeight="1" x14ac:dyDescent="0.35"/>
    <row r="407" ht="10.5" customHeight="1" x14ac:dyDescent="0.35"/>
    <row r="408" ht="10.5" customHeight="1" x14ac:dyDescent="0.35"/>
    <row r="409" ht="10.5" customHeight="1" x14ac:dyDescent="0.35"/>
    <row r="410" ht="10.5" customHeight="1" x14ac:dyDescent="0.35"/>
    <row r="411" ht="10.5" customHeight="1" x14ac:dyDescent="0.35"/>
    <row r="412" ht="10.5" customHeight="1" x14ac:dyDescent="0.35"/>
    <row r="413" ht="10.5" customHeight="1" x14ac:dyDescent="0.35"/>
    <row r="414" ht="10.5" customHeight="1" x14ac:dyDescent="0.35"/>
    <row r="415" ht="10.5" customHeight="1" x14ac:dyDescent="0.35"/>
    <row r="416" ht="10.5" customHeight="1" x14ac:dyDescent="0.35"/>
    <row r="417" ht="10.5" customHeight="1" x14ac:dyDescent="0.35"/>
    <row r="418" ht="10.5" customHeight="1" x14ac:dyDescent="0.35"/>
    <row r="419" ht="10.5" customHeight="1" x14ac:dyDescent="0.35"/>
    <row r="420" ht="10.5" customHeight="1" x14ac:dyDescent="0.35"/>
    <row r="421" ht="10.5" customHeight="1" x14ac:dyDescent="0.35"/>
    <row r="422" ht="10.5" customHeight="1" x14ac:dyDescent="0.35"/>
    <row r="423" ht="10.5" customHeight="1" x14ac:dyDescent="0.35"/>
    <row r="424" ht="10.5" customHeight="1" x14ac:dyDescent="0.35"/>
    <row r="425" ht="10.5" customHeight="1" x14ac:dyDescent="0.35"/>
    <row r="426" ht="10.5" customHeight="1" x14ac:dyDescent="0.35"/>
    <row r="427" ht="10.5" customHeight="1" x14ac:dyDescent="0.35"/>
    <row r="428" ht="10.5" customHeight="1" x14ac:dyDescent="0.35"/>
    <row r="429" ht="10.5" customHeight="1" x14ac:dyDescent="0.35"/>
    <row r="430" ht="10.5" customHeight="1" x14ac:dyDescent="0.35"/>
    <row r="431" ht="10.5" customHeight="1" x14ac:dyDescent="0.35"/>
    <row r="432" ht="10.5" customHeight="1" x14ac:dyDescent="0.35"/>
    <row r="433" ht="10.5" customHeight="1" x14ac:dyDescent="0.35"/>
    <row r="434" ht="10.5" customHeight="1" x14ac:dyDescent="0.35"/>
    <row r="435" ht="10.5" customHeight="1" x14ac:dyDescent="0.35"/>
    <row r="436" ht="10.5" customHeight="1" x14ac:dyDescent="0.35"/>
    <row r="437" ht="10.5" customHeight="1" x14ac:dyDescent="0.35"/>
    <row r="438" ht="10.5" customHeight="1" x14ac:dyDescent="0.35"/>
    <row r="439" ht="10.5" customHeight="1" x14ac:dyDescent="0.35"/>
    <row r="440" ht="10.5" customHeight="1" x14ac:dyDescent="0.35"/>
    <row r="441" ht="10.5" customHeight="1" x14ac:dyDescent="0.35"/>
    <row r="442" ht="10.5" customHeight="1" x14ac:dyDescent="0.35"/>
    <row r="443" ht="10.5" customHeight="1" x14ac:dyDescent="0.35"/>
    <row r="444" ht="10.5" customHeight="1" x14ac:dyDescent="0.35"/>
    <row r="445" ht="10.5" customHeight="1" x14ac:dyDescent="0.35"/>
    <row r="446" ht="10.5" customHeight="1" x14ac:dyDescent="0.35"/>
    <row r="447" ht="10.5" customHeight="1" x14ac:dyDescent="0.35"/>
    <row r="448" ht="10.5" customHeight="1" x14ac:dyDescent="0.35"/>
    <row r="449" ht="10.5" customHeight="1" x14ac:dyDescent="0.35"/>
    <row r="450" ht="10.5" customHeight="1" x14ac:dyDescent="0.35"/>
    <row r="451" ht="10.5" customHeight="1" x14ac:dyDescent="0.35"/>
    <row r="452" ht="10.5" customHeight="1" x14ac:dyDescent="0.35"/>
    <row r="453" ht="10.5" customHeight="1" x14ac:dyDescent="0.35"/>
    <row r="454" ht="10.5" customHeight="1" x14ac:dyDescent="0.35"/>
    <row r="455" ht="10.5" customHeight="1" x14ac:dyDescent="0.35"/>
    <row r="456" ht="10.5" customHeight="1" x14ac:dyDescent="0.35"/>
    <row r="457" ht="10.5" customHeight="1" x14ac:dyDescent="0.35"/>
    <row r="458" ht="10.5" customHeight="1" x14ac:dyDescent="0.35"/>
    <row r="459" ht="10.5" customHeight="1" x14ac:dyDescent="0.35"/>
    <row r="460" ht="10.5" customHeight="1" x14ac:dyDescent="0.35"/>
    <row r="461" ht="10.5" customHeight="1" x14ac:dyDescent="0.35"/>
    <row r="462" ht="10.5" customHeight="1" x14ac:dyDescent="0.35"/>
    <row r="463" ht="10.5" customHeight="1" x14ac:dyDescent="0.35"/>
    <row r="464" ht="10.5" customHeight="1" x14ac:dyDescent="0.35"/>
    <row r="465" ht="10.5" customHeight="1" x14ac:dyDescent="0.35"/>
    <row r="466" ht="10.5" customHeight="1" x14ac:dyDescent="0.35"/>
    <row r="467" ht="10.5" customHeight="1" x14ac:dyDescent="0.35"/>
    <row r="468" ht="10.5" customHeight="1" x14ac:dyDescent="0.35"/>
    <row r="469" ht="10.5" customHeight="1" x14ac:dyDescent="0.35"/>
    <row r="470" ht="10.5" customHeight="1" x14ac:dyDescent="0.35"/>
    <row r="471" ht="10.5" customHeight="1" x14ac:dyDescent="0.35"/>
    <row r="472" ht="10.5" customHeight="1" x14ac:dyDescent="0.35"/>
    <row r="473" ht="10.5" customHeight="1" x14ac:dyDescent="0.35"/>
    <row r="474" ht="10.5" customHeight="1" x14ac:dyDescent="0.35"/>
    <row r="475" ht="10.5" customHeight="1" x14ac:dyDescent="0.35"/>
    <row r="476" ht="10.5" customHeight="1" x14ac:dyDescent="0.35"/>
    <row r="477" ht="10.5" customHeight="1" x14ac:dyDescent="0.35"/>
    <row r="478" ht="10.5" customHeight="1" x14ac:dyDescent="0.35"/>
    <row r="479" ht="10.5" customHeight="1" x14ac:dyDescent="0.35"/>
    <row r="480" ht="10.5" customHeight="1" x14ac:dyDescent="0.35"/>
    <row r="481" ht="10.5" customHeight="1" x14ac:dyDescent="0.35"/>
    <row r="482" ht="10.5" customHeight="1" x14ac:dyDescent="0.35"/>
    <row r="483" ht="10.5" customHeight="1" x14ac:dyDescent="0.35"/>
    <row r="484" ht="10.5" customHeight="1" x14ac:dyDescent="0.35"/>
    <row r="485" ht="10.5" customHeight="1" x14ac:dyDescent="0.35"/>
    <row r="486" ht="10.5" customHeight="1" x14ac:dyDescent="0.35"/>
    <row r="487" ht="10.5" customHeight="1" x14ac:dyDescent="0.35"/>
    <row r="488" ht="10.5" customHeight="1" x14ac:dyDescent="0.35"/>
    <row r="489" ht="10.5" customHeight="1" x14ac:dyDescent="0.35"/>
    <row r="490" ht="10.5" customHeight="1" x14ac:dyDescent="0.35"/>
    <row r="491" ht="10.5" customHeight="1" x14ac:dyDescent="0.35"/>
    <row r="492" ht="10.5" customHeight="1" x14ac:dyDescent="0.35"/>
    <row r="493" ht="10.5" customHeight="1" x14ac:dyDescent="0.35"/>
    <row r="494" ht="10.5" customHeight="1" x14ac:dyDescent="0.35"/>
    <row r="495" ht="10.5" customHeight="1" x14ac:dyDescent="0.35"/>
    <row r="496" ht="10.5" customHeight="1" x14ac:dyDescent="0.35"/>
    <row r="497" ht="10.5" customHeight="1" x14ac:dyDescent="0.35"/>
    <row r="498" ht="10.5" customHeight="1" x14ac:dyDescent="0.35"/>
    <row r="499" ht="10.5" customHeight="1" x14ac:dyDescent="0.35"/>
    <row r="500" ht="10.5" customHeight="1" x14ac:dyDescent="0.35"/>
    <row r="501" ht="10.5" customHeight="1" x14ac:dyDescent="0.35"/>
    <row r="502" ht="10.5" customHeight="1" x14ac:dyDescent="0.35"/>
    <row r="503" ht="10.5" customHeight="1" x14ac:dyDescent="0.35"/>
    <row r="504" ht="10.5" customHeight="1" x14ac:dyDescent="0.35"/>
    <row r="505" ht="10.5" customHeight="1" x14ac:dyDescent="0.35"/>
    <row r="506" ht="10.5" customHeight="1" x14ac:dyDescent="0.35"/>
    <row r="507" ht="10.5" customHeight="1" x14ac:dyDescent="0.35"/>
    <row r="508" ht="10.5" customHeight="1" x14ac:dyDescent="0.35"/>
    <row r="509" ht="10.5" customHeight="1" x14ac:dyDescent="0.35"/>
    <row r="510" ht="10.5" customHeight="1" x14ac:dyDescent="0.35"/>
    <row r="511" ht="10.5" customHeight="1" x14ac:dyDescent="0.35"/>
    <row r="512" ht="10.5" customHeight="1" x14ac:dyDescent="0.35"/>
    <row r="513" ht="10.5" customHeight="1" x14ac:dyDescent="0.35"/>
    <row r="514" ht="10.5" customHeight="1" x14ac:dyDescent="0.35"/>
    <row r="515" ht="10.5" customHeight="1" x14ac:dyDescent="0.35"/>
    <row r="516" ht="10.5" customHeight="1" x14ac:dyDescent="0.35"/>
    <row r="517" ht="10.5" customHeight="1" x14ac:dyDescent="0.35"/>
    <row r="518" ht="10.5" customHeight="1" x14ac:dyDescent="0.35"/>
    <row r="519" ht="10.5" customHeight="1" x14ac:dyDescent="0.35"/>
    <row r="520" ht="10.5" customHeight="1" x14ac:dyDescent="0.35"/>
    <row r="521" ht="10.5" customHeight="1" x14ac:dyDescent="0.35"/>
    <row r="522" ht="10.5" customHeight="1" x14ac:dyDescent="0.35"/>
    <row r="523" ht="10.5" customHeight="1" x14ac:dyDescent="0.35"/>
    <row r="524" ht="10.5" customHeight="1" x14ac:dyDescent="0.35"/>
    <row r="525" ht="10.5" customHeight="1" x14ac:dyDescent="0.35"/>
    <row r="526" ht="10.5" customHeight="1" x14ac:dyDescent="0.35"/>
    <row r="527" ht="10.5" customHeight="1" x14ac:dyDescent="0.35"/>
    <row r="528" ht="10.5" customHeight="1" x14ac:dyDescent="0.35"/>
    <row r="529" ht="10.5" customHeight="1" x14ac:dyDescent="0.35"/>
    <row r="530" ht="10.5" customHeight="1" x14ac:dyDescent="0.35"/>
    <row r="531" ht="10.5" customHeight="1" x14ac:dyDescent="0.35"/>
    <row r="532" ht="10.5" customHeight="1" x14ac:dyDescent="0.35"/>
    <row r="533" ht="10.5" customHeight="1" x14ac:dyDescent="0.35"/>
    <row r="534" ht="10.5" customHeight="1" x14ac:dyDescent="0.35"/>
    <row r="535" ht="10.5" customHeight="1" x14ac:dyDescent="0.35"/>
    <row r="536" ht="10.5" customHeight="1" x14ac:dyDescent="0.35"/>
    <row r="537" ht="10.5" customHeight="1" x14ac:dyDescent="0.35"/>
    <row r="538" ht="10.5" customHeight="1" x14ac:dyDescent="0.35"/>
    <row r="539" ht="10.5" customHeight="1" x14ac:dyDescent="0.35"/>
    <row r="540" ht="10.5" customHeight="1" x14ac:dyDescent="0.35"/>
    <row r="541" ht="10.5" customHeight="1" x14ac:dyDescent="0.35"/>
    <row r="542" ht="10.5" customHeight="1" x14ac:dyDescent="0.35"/>
    <row r="543" ht="10.5" customHeight="1" x14ac:dyDescent="0.35"/>
    <row r="544" ht="10.5" customHeight="1" x14ac:dyDescent="0.35"/>
    <row r="545" ht="10.5" customHeight="1" x14ac:dyDescent="0.35"/>
    <row r="546" ht="10.5" customHeight="1" x14ac:dyDescent="0.35"/>
    <row r="547" ht="10.5" customHeight="1" x14ac:dyDescent="0.35"/>
    <row r="548" ht="10.5" customHeight="1" x14ac:dyDescent="0.35"/>
    <row r="549" ht="10.5" customHeight="1" x14ac:dyDescent="0.35"/>
    <row r="550" ht="10.5" customHeight="1" x14ac:dyDescent="0.35"/>
    <row r="551" ht="10.5" customHeight="1" x14ac:dyDescent="0.35"/>
    <row r="552" ht="10.5" customHeight="1" x14ac:dyDescent="0.35"/>
    <row r="553" ht="10.5" customHeight="1" x14ac:dyDescent="0.35"/>
    <row r="554" ht="10.5" customHeight="1" x14ac:dyDescent="0.35"/>
    <row r="555" ht="10.5" customHeight="1" x14ac:dyDescent="0.35"/>
    <row r="556" ht="10.5" customHeight="1" x14ac:dyDescent="0.35"/>
    <row r="557" ht="10.5" customHeight="1" x14ac:dyDescent="0.35"/>
    <row r="558" ht="10.5" customHeight="1" x14ac:dyDescent="0.35"/>
    <row r="559" ht="10.5" customHeight="1" x14ac:dyDescent="0.35"/>
    <row r="560" ht="10.5" customHeight="1" x14ac:dyDescent="0.35"/>
    <row r="561" ht="10.5" customHeight="1" x14ac:dyDescent="0.35"/>
    <row r="562" ht="10.5" customHeight="1" x14ac:dyDescent="0.35"/>
    <row r="563" ht="10.5" customHeight="1" x14ac:dyDescent="0.35"/>
    <row r="564" ht="10.5" customHeight="1" x14ac:dyDescent="0.35"/>
    <row r="565" ht="10.5" customHeight="1" x14ac:dyDescent="0.35"/>
    <row r="566" ht="10.5" customHeight="1" x14ac:dyDescent="0.35"/>
    <row r="567" ht="10.5" customHeight="1" x14ac:dyDescent="0.35"/>
    <row r="568" ht="10.5" customHeight="1" x14ac:dyDescent="0.35"/>
    <row r="569" ht="10.5" customHeight="1" x14ac:dyDescent="0.35"/>
    <row r="570" ht="10.5" customHeight="1" x14ac:dyDescent="0.35"/>
    <row r="571" ht="10.5" customHeight="1" x14ac:dyDescent="0.35"/>
    <row r="572" ht="10.5" customHeight="1" x14ac:dyDescent="0.35"/>
    <row r="573" ht="10.5" customHeight="1" x14ac:dyDescent="0.35"/>
    <row r="574" ht="10.5" customHeight="1" x14ac:dyDescent="0.35"/>
    <row r="575" ht="10.5" customHeight="1" x14ac:dyDescent="0.35"/>
    <row r="576" ht="10.5" customHeight="1" x14ac:dyDescent="0.35"/>
    <row r="577" ht="10.5" customHeight="1" x14ac:dyDescent="0.35"/>
    <row r="578" ht="10.5" customHeight="1" x14ac:dyDescent="0.35"/>
    <row r="579" ht="10.5" customHeight="1" x14ac:dyDescent="0.35"/>
    <row r="580" ht="10.5" customHeight="1" x14ac:dyDescent="0.35"/>
    <row r="581" ht="10.5" customHeight="1" x14ac:dyDescent="0.35"/>
    <row r="582" ht="10.5" customHeight="1" x14ac:dyDescent="0.35"/>
    <row r="583" ht="10.5" customHeight="1" x14ac:dyDescent="0.35"/>
    <row r="584" ht="10.5" customHeight="1" x14ac:dyDescent="0.35"/>
    <row r="585" ht="10.5" customHeight="1" x14ac:dyDescent="0.35"/>
    <row r="586" ht="10.5" customHeight="1" x14ac:dyDescent="0.35"/>
    <row r="587" ht="10.5" customHeight="1" x14ac:dyDescent="0.35"/>
    <row r="588" ht="10.5" customHeight="1" x14ac:dyDescent="0.35"/>
    <row r="589" ht="10.5" customHeight="1" x14ac:dyDescent="0.35"/>
    <row r="590" ht="10.5" customHeight="1" x14ac:dyDescent="0.35"/>
    <row r="591" ht="10.5" customHeight="1" x14ac:dyDescent="0.35"/>
    <row r="592" ht="10.5" customHeight="1" x14ac:dyDescent="0.35"/>
    <row r="593" ht="10.5" customHeight="1" x14ac:dyDescent="0.35"/>
    <row r="594" ht="10.5" customHeight="1" x14ac:dyDescent="0.35"/>
    <row r="595" ht="10.5" customHeight="1" x14ac:dyDescent="0.35"/>
    <row r="596" ht="10.5" customHeight="1" x14ac:dyDescent="0.35"/>
    <row r="597" ht="10.5" customHeight="1" x14ac:dyDescent="0.35"/>
    <row r="598" ht="10.5" customHeight="1" x14ac:dyDescent="0.35"/>
    <row r="599" ht="10.5" customHeight="1" x14ac:dyDescent="0.35"/>
    <row r="600" ht="10.5" customHeight="1" x14ac:dyDescent="0.35"/>
    <row r="601" ht="10.5" customHeight="1" x14ac:dyDescent="0.35"/>
    <row r="602" ht="10.5" customHeight="1" x14ac:dyDescent="0.35"/>
    <row r="603" ht="10.5" customHeight="1" x14ac:dyDescent="0.35"/>
    <row r="604" ht="10.5" customHeight="1" x14ac:dyDescent="0.35"/>
    <row r="605" ht="10.5" customHeight="1" x14ac:dyDescent="0.35"/>
    <row r="606" ht="10.5" customHeight="1" x14ac:dyDescent="0.35"/>
    <row r="607" ht="10.5" customHeight="1" x14ac:dyDescent="0.35"/>
    <row r="608" ht="10.5" customHeight="1" x14ac:dyDescent="0.35"/>
    <row r="609" ht="10.5" customHeight="1" x14ac:dyDescent="0.35"/>
    <row r="610" ht="10.5" customHeight="1" x14ac:dyDescent="0.35"/>
    <row r="611" ht="10.5" customHeight="1" x14ac:dyDescent="0.35"/>
    <row r="612" ht="10.5" customHeight="1" x14ac:dyDescent="0.35"/>
    <row r="613" ht="10.5" customHeight="1" x14ac:dyDescent="0.35"/>
    <row r="614" ht="10.5" customHeight="1" x14ac:dyDescent="0.35"/>
    <row r="615" ht="10.5" customHeight="1" x14ac:dyDescent="0.35"/>
    <row r="616" ht="10.5" customHeight="1" x14ac:dyDescent="0.35"/>
    <row r="617" ht="10.5" customHeight="1" x14ac:dyDescent="0.35"/>
    <row r="618" ht="10.5" customHeight="1" x14ac:dyDescent="0.35"/>
    <row r="619" ht="10.5" customHeight="1" x14ac:dyDescent="0.35"/>
    <row r="620" ht="10.5" customHeight="1" x14ac:dyDescent="0.35"/>
    <row r="621" ht="10.5" customHeight="1" x14ac:dyDescent="0.35"/>
    <row r="622" ht="10.5" customHeight="1" x14ac:dyDescent="0.35"/>
    <row r="623" ht="10.5" customHeight="1" x14ac:dyDescent="0.35"/>
    <row r="624" ht="10.5" customHeight="1" x14ac:dyDescent="0.35"/>
    <row r="625" ht="10.5" customHeight="1" x14ac:dyDescent="0.35"/>
    <row r="626" ht="10.5" customHeight="1" x14ac:dyDescent="0.35"/>
    <row r="627" ht="10.5" customHeight="1" x14ac:dyDescent="0.35"/>
    <row r="628" ht="10.5" customHeight="1" x14ac:dyDescent="0.35"/>
    <row r="629" ht="10.5" customHeight="1" x14ac:dyDescent="0.35"/>
    <row r="630" ht="10.5" customHeight="1" x14ac:dyDescent="0.35"/>
    <row r="631" ht="10.5" customHeight="1" x14ac:dyDescent="0.35"/>
    <row r="632" ht="10.5" customHeight="1" x14ac:dyDescent="0.35"/>
    <row r="633" ht="10.5" customHeight="1" x14ac:dyDescent="0.35"/>
    <row r="634" ht="10.5" customHeight="1" x14ac:dyDescent="0.35"/>
    <row r="635" ht="10.5" customHeight="1" x14ac:dyDescent="0.35"/>
    <row r="636" ht="10.5" customHeight="1" x14ac:dyDescent="0.35"/>
    <row r="637" ht="10.5" customHeight="1" x14ac:dyDescent="0.35"/>
    <row r="638" ht="10.5" customHeight="1" x14ac:dyDescent="0.35"/>
    <row r="639" ht="10.5" customHeight="1" x14ac:dyDescent="0.35"/>
    <row r="640" ht="10.5" customHeight="1" x14ac:dyDescent="0.35"/>
    <row r="641" ht="10.5" customHeight="1" x14ac:dyDescent="0.35"/>
    <row r="642" ht="10.5" customHeight="1" x14ac:dyDescent="0.35"/>
    <row r="643" ht="10.5" customHeight="1" x14ac:dyDescent="0.35"/>
    <row r="644" ht="10.5" customHeight="1" x14ac:dyDescent="0.35"/>
    <row r="645" ht="10.5" customHeight="1" x14ac:dyDescent="0.35"/>
    <row r="646" ht="10.5" customHeight="1" x14ac:dyDescent="0.35"/>
    <row r="647" ht="10.5" customHeight="1" x14ac:dyDescent="0.35"/>
    <row r="648" ht="10.5" customHeight="1" x14ac:dyDescent="0.35"/>
    <row r="649" ht="10.5" customHeight="1" x14ac:dyDescent="0.35"/>
    <row r="650" ht="10.5" customHeight="1" x14ac:dyDescent="0.35"/>
    <row r="651" ht="10.5" customHeight="1" x14ac:dyDescent="0.35"/>
    <row r="652" ht="10.5" customHeight="1" x14ac:dyDescent="0.35"/>
    <row r="653" ht="10.5" customHeight="1" x14ac:dyDescent="0.35"/>
    <row r="654" ht="10.5" customHeight="1" x14ac:dyDescent="0.35"/>
    <row r="655" ht="10.5" customHeight="1" x14ac:dyDescent="0.35"/>
    <row r="656" ht="10.5" customHeight="1" x14ac:dyDescent="0.35"/>
    <row r="657" ht="10.5" customHeight="1" x14ac:dyDescent="0.35"/>
    <row r="658" ht="10.5" customHeight="1" x14ac:dyDescent="0.35"/>
    <row r="659" ht="10.5" customHeight="1" x14ac:dyDescent="0.35"/>
    <row r="660" ht="10.5" customHeight="1" x14ac:dyDescent="0.35"/>
    <row r="661" ht="10.5" customHeight="1" x14ac:dyDescent="0.35"/>
    <row r="662" ht="10.5" customHeight="1" x14ac:dyDescent="0.35"/>
    <row r="663" ht="10.5" customHeight="1" x14ac:dyDescent="0.35"/>
    <row r="664" ht="10.5" customHeight="1" x14ac:dyDescent="0.35"/>
    <row r="665" ht="10.5" customHeight="1" x14ac:dyDescent="0.35"/>
    <row r="666" ht="10.5" customHeight="1" x14ac:dyDescent="0.35"/>
    <row r="667" ht="10.5" customHeight="1" x14ac:dyDescent="0.35"/>
    <row r="668" ht="10.5" customHeight="1" x14ac:dyDescent="0.35"/>
    <row r="669" ht="10.5" customHeight="1" x14ac:dyDescent="0.35"/>
    <row r="670" ht="10.5" customHeight="1" x14ac:dyDescent="0.35"/>
    <row r="671" ht="10.5" customHeight="1" x14ac:dyDescent="0.35"/>
    <row r="672" ht="10.5" customHeight="1" x14ac:dyDescent="0.35"/>
    <row r="673" ht="10.5" customHeight="1" x14ac:dyDescent="0.35"/>
    <row r="674" ht="10.5" customHeight="1" x14ac:dyDescent="0.35"/>
    <row r="675" ht="10.5" customHeight="1" x14ac:dyDescent="0.35"/>
    <row r="676" ht="10.5" customHeight="1" x14ac:dyDescent="0.35"/>
    <row r="677" ht="10.5" customHeight="1" x14ac:dyDescent="0.35"/>
    <row r="678" ht="10.5" customHeight="1" x14ac:dyDescent="0.35"/>
    <row r="679" ht="10.5" customHeight="1" x14ac:dyDescent="0.35"/>
    <row r="680" ht="10.5" customHeight="1" x14ac:dyDescent="0.35"/>
    <row r="681" ht="10.5" customHeight="1" x14ac:dyDescent="0.35"/>
    <row r="682" ht="10.5" customHeight="1" x14ac:dyDescent="0.35"/>
    <row r="683" ht="10.5" customHeight="1" x14ac:dyDescent="0.35"/>
    <row r="684" ht="10.5" customHeight="1" x14ac:dyDescent="0.35"/>
    <row r="685" ht="10.5" customHeight="1" x14ac:dyDescent="0.35"/>
    <row r="686" ht="10.5" customHeight="1" x14ac:dyDescent="0.35"/>
    <row r="687" ht="10.5" customHeight="1" x14ac:dyDescent="0.35"/>
    <row r="688" ht="10.5" customHeight="1" x14ac:dyDescent="0.35"/>
    <row r="689" ht="10.5" customHeight="1" x14ac:dyDescent="0.35"/>
    <row r="690" ht="10.5" customHeight="1" x14ac:dyDescent="0.35"/>
    <row r="691" ht="10.5" customHeight="1" x14ac:dyDescent="0.35"/>
    <row r="692" ht="10.5" customHeight="1" x14ac:dyDescent="0.35"/>
    <row r="693" ht="10.5" customHeight="1" x14ac:dyDescent="0.35"/>
    <row r="694" ht="10.5" customHeight="1" x14ac:dyDescent="0.35"/>
    <row r="695" ht="10.5" customHeight="1" x14ac:dyDescent="0.35"/>
    <row r="696" ht="10.5" customHeight="1" x14ac:dyDescent="0.35"/>
    <row r="697" ht="10.5" customHeight="1" x14ac:dyDescent="0.35"/>
    <row r="698" ht="10.5" customHeight="1" x14ac:dyDescent="0.35"/>
    <row r="699" ht="10.5" customHeight="1" x14ac:dyDescent="0.35"/>
    <row r="700" ht="10.5" customHeight="1" x14ac:dyDescent="0.35"/>
    <row r="701" ht="10.5" customHeight="1" x14ac:dyDescent="0.35"/>
    <row r="702" ht="10.5" customHeight="1" x14ac:dyDescent="0.35"/>
    <row r="703" ht="10.5" customHeight="1" x14ac:dyDescent="0.35"/>
    <row r="704" ht="10.5" customHeight="1" x14ac:dyDescent="0.35"/>
    <row r="705" ht="10.5" customHeight="1" x14ac:dyDescent="0.35"/>
    <row r="706" ht="10.5" customHeight="1" x14ac:dyDescent="0.35"/>
    <row r="707" ht="10.5" customHeight="1" x14ac:dyDescent="0.35"/>
    <row r="708" ht="10.5" customHeight="1" x14ac:dyDescent="0.35"/>
    <row r="709" ht="10.5" customHeight="1" x14ac:dyDescent="0.35"/>
    <row r="710" ht="10.5" customHeight="1" x14ac:dyDescent="0.35"/>
    <row r="711" ht="10.5" customHeight="1" x14ac:dyDescent="0.35"/>
    <row r="712" ht="10.5" customHeight="1" x14ac:dyDescent="0.35"/>
    <row r="713" ht="10.5" customHeight="1" x14ac:dyDescent="0.35"/>
    <row r="714" ht="10.5" customHeight="1" x14ac:dyDescent="0.35"/>
    <row r="715" ht="10.5" customHeight="1" x14ac:dyDescent="0.35"/>
    <row r="716" ht="10.5" customHeight="1" x14ac:dyDescent="0.35"/>
    <row r="717" ht="10.5" customHeight="1" x14ac:dyDescent="0.35"/>
    <row r="718" ht="10.5" customHeight="1" x14ac:dyDescent="0.35"/>
    <row r="719" ht="10.5" customHeight="1" x14ac:dyDescent="0.35"/>
    <row r="720" ht="10.5" customHeight="1" x14ac:dyDescent="0.35"/>
    <row r="721" ht="10.5" customHeight="1" x14ac:dyDescent="0.35"/>
    <row r="722" ht="10.5" customHeight="1" x14ac:dyDescent="0.35"/>
    <row r="723" ht="10.5" customHeight="1" x14ac:dyDescent="0.35"/>
    <row r="724" ht="10.5" customHeight="1" x14ac:dyDescent="0.35"/>
    <row r="725" ht="10.5" customHeight="1" x14ac:dyDescent="0.35"/>
    <row r="726" ht="10.5" customHeight="1" x14ac:dyDescent="0.35"/>
    <row r="727" ht="10.5" customHeight="1" x14ac:dyDescent="0.35"/>
    <row r="728" ht="10.5" customHeight="1" x14ac:dyDescent="0.35"/>
    <row r="729" ht="10.5" customHeight="1" x14ac:dyDescent="0.35"/>
    <row r="730" ht="10.5" customHeight="1" x14ac:dyDescent="0.35"/>
    <row r="731" ht="10.5" customHeight="1" x14ac:dyDescent="0.35"/>
    <row r="732" ht="10.5" customHeight="1" x14ac:dyDescent="0.35"/>
    <row r="733" ht="10.5" customHeight="1" x14ac:dyDescent="0.35"/>
    <row r="734" ht="10.5" customHeight="1" x14ac:dyDescent="0.35"/>
    <row r="735" ht="10.5" customHeight="1" x14ac:dyDescent="0.35"/>
    <row r="736" ht="10.5" customHeight="1" x14ac:dyDescent="0.35"/>
    <row r="737" ht="10.5" customHeight="1" x14ac:dyDescent="0.35"/>
    <row r="738" ht="10.5" customHeight="1" x14ac:dyDescent="0.35"/>
    <row r="739" ht="10.5" customHeight="1" x14ac:dyDescent="0.35"/>
    <row r="740" ht="10.5" customHeight="1" x14ac:dyDescent="0.35"/>
    <row r="741" ht="10.5" customHeight="1" x14ac:dyDescent="0.35"/>
    <row r="742" ht="10.5" customHeight="1" x14ac:dyDescent="0.35"/>
    <row r="743" ht="10.5" customHeight="1" x14ac:dyDescent="0.35"/>
    <row r="744" ht="10.5" customHeight="1" x14ac:dyDescent="0.35"/>
    <row r="745" ht="10.5" customHeight="1" x14ac:dyDescent="0.35"/>
    <row r="746" ht="10.5" customHeight="1" x14ac:dyDescent="0.35"/>
    <row r="747" ht="10.5" customHeight="1" x14ac:dyDescent="0.35"/>
    <row r="748" ht="10.5" customHeight="1" x14ac:dyDescent="0.35"/>
    <row r="749" ht="10.5" customHeight="1" x14ac:dyDescent="0.35"/>
    <row r="750" ht="10.5" customHeight="1" x14ac:dyDescent="0.35"/>
    <row r="751" ht="10.5" customHeight="1" x14ac:dyDescent="0.35"/>
    <row r="752" ht="10.5" customHeight="1" x14ac:dyDescent="0.35"/>
    <row r="753" ht="10.5" customHeight="1" x14ac:dyDescent="0.35"/>
    <row r="754" ht="10.5" customHeight="1" x14ac:dyDescent="0.35"/>
    <row r="755" ht="10.5" customHeight="1" x14ac:dyDescent="0.35"/>
    <row r="756" ht="10.5" customHeight="1" x14ac:dyDescent="0.35"/>
    <row r="757" ht="10.5" customHeight="1" x14ac:dyDescent="0.35"/>
    <row r="758" ht="10.5" customHeight="1" x14ac:dyDescent="0.35"/>
    <row r="759" ht="10.5" customHeight="1" x14ac:dyDescent="0.35"/>
    <row r="760" ht="10.5" customHeight="1" x14ac:dyDescent="0.35"/>
    <row r="761" ht="10.5" customHeight="1" x14ac:dyDescent="0.35"/>
    <row r="762" ht="10.5" customHeight="1" x14ac:dyDescent="0.35"/>
    <row r="763" ht="10.5" customHeight="1" x14ac:dyDescent="0.35"/>
    <row r="764" ht="10.5" customHeight="1" x14ac:dyDescent="0.35"/>
    <row r="765" ht="10.5" customHeight="1" x14ac:dyDescent="0.35"/>
    <row r="766" ht="10.5" customHeight="1" x14ac:dyDescent="0.35"/>
    <row r="767" ht="10.5" customHeight="1" x14ac:dyDescent="0.35"/>
    <row r="768" ht="10.5" customHeight="1" x14ac:dyDescent="0.35"/>
    <row r="769" ht="10.5" customHeight="1" x14ac:dyDescent="0.35"/>
    <row r="770" ht="10.5" customHeight="1" x14ac:dyDescent="0.35"/>
    <row r="771" ht="10.5" customHeight="1" x14ac:dyDescent="0.35"/>
    <row r="772" ht="10.5" customHeight="1" x14ac:dyDescent="0.35"/>
    <row r="773" ht="10.5" customHeight="1" x14ac:dyDescent="0.35"/>
    <row r="774" ht="10.5" customHeight="1" x14ac:dyDescent="0.35"/>
    <row r="775" ht="10.5" customHeight="1" x14ac:dyDescent="0.35"/>
    <row r="776" ht="10.5" customHeight="1" x14ac:dyDescent="0.35"/>
    <row r="777" ht="10.5" customHeight="1" x14ac:dyDescent="0.35"/>
    <row r="778" ht="10.5" customHeight="1" x14ac:dyDescent="0.35"/>
    <row r="779" ht="10.5" customHeight="1" x14ac:dyDescent="0.35"/>
    <row r="780" ht="10.5" customHeight="1" x14ac:dyDescent="0.35"/>
    <row r="781" ht="10.5" customHeight="1" x14ac:dyDescent="0.35"/>
    <row r="782" ht="10.5" customHeight="1" x14ac:dyDescent="0.35"/>
    <row r="783" ht="10.5" customHeight="1" x14ac:dyDescent="0.35"/>
    <row r="784" ht="10.5" customHeight="1" x14ac:dyDescent="0.35"/>
    <row r="785" ht="10.5" customHeight="1" x14ac:dyDescent="0.35"/>
    <row r="786" ht="10.5" customHeight="1" x14ac:dyDescent="0.35"/>
    <row r="787" ht="10.5" customHeight="1" x14ac:dyDescent="0.35"/>
    <row r="788" ht="10.5" customHeight="1" x14ac:dyDescent="0.35"/>
    <row r="789" ht="10.5" customHeight="1" x14ac:dyDescent="0.35"/>
    <row r="790" ht="10.5" customHeight="1" x14ac:dyDescent="0.35"/>
    <row r="791" ht="10.5" customHeight="1" x14ac:dyDescent="0.35"/>
    <row r="792" ht="10.5" customHeight="1" x14ac:dyDescent="0.35"/>
    <row r="793" ht="10.5" customHeight="1" x14ac:dyDescent="0.35"/>
    <row r="794" ht="10.5" customHeight="1" x14ac:dyDescent="0.35"/>
    <row r="795" ht="10.5" customHeight="1" x14ac:dyDescent="0.35"/>
    <row r="796" ht="10.5" customHeight="1" x14ac:dyDescent="0.35"/>
    <row r="797" ht="10.5" customHeight="1" x14ac:dyDescent="0.35"/>
    <row r="798" ht="10.5" customHeight="1" x14ac:dyDescent="0.35"/>
    <row r="799" ht="10.5" customHeight="1" x14ac:dyDescent="0.35"/>
    <row r="800" ht="10.5" customHeight="1" x14ac:dyDescent="0.35"/>
    <row r="801" ht="10.5" customHeight="1" x14ac:dyDescent="0.35"/>
    <row r="802" ht="10.5" customHeight="1" x14ac:dyDescent="0.35"/>
    <row r="803" ht="10.5" customHeight="1" x14ac:dyDescent="0.35"/>
    <row r="804" ht="10.5" customHeight="1" x14ac:dyDescent="0.35"/>
    <row r="805" ht="10.5" customHeight="1" x14ac:dyDescent="0.35"/>
    <row r="806" ht="10.5" customHeight="1" x14ac:dyDescent="0.35"/>
    <row r="807" ht="10.5" customHeight="1" x14ac:dyDescent="0.35"/>
    <row r="808" ht="10.5" customHeight="1" x14ac:dyDescent="0.35"/>
    <row r="809" ht="10.5" customHeight="1" x14ac:dyDescent="0.35"/>
    <row r="810" ht="10.5" customHeight="1" x14ac:dyDescent="0.35"/>
    <row r="811" ht="10.5" customHeight="1" x14ac:dyDescent="0.35"/>
    <row r="812" ht="10.5" customHeight="1" x14ac:dyDescent="0.35"/>
    <row r="813" ht="10.5" customHeight="1" x14ac:dyDescent="0.35"/>
    <row r="814" ht="10.5" customHeight="1" x14ac:dyDescent="0.35"/>
    <row r="815" ht="10.5" customHeight="1" x14ac:dyDescent="0.35"/>
    <row r="816" ht="10.5" customHeight="1" x14ac:dyDescent="0.35"/>
    <row r="817" ht="10.5" customHeight="1" x14ac:dyDescent="0.35"/>
    <row r="818" ht="10.5" customHeight="1" x14ac:dyDescent="0.35"/>
    <row r="819" ht="10.5" customHeight="1" x14ac:dyDescent="0.35"/>
    <row r="820" ht="10.5" customHeight="1" x14ac:dyDescent="0.35"/>
    <row r="821" ht="10.5" customHeight="1" x14ac:dyDescent="0.35"/>
    <row r="822" ht="10.5" customHeight="1" x14ac:dyDescent="0.35"/>
    <row r="823" ht="10.5" customHeight="1" x14ac:dyDescent="0.35"/>
    <row r="824" ht="10.5" customHeight="1" x14ac:dyDescent="0.35"/>
    <row r="825" ht="10.5" customHeight="1" x14ac:dyDescent="0.35"/>
    <row r="826" ht="10.5" customHeight="1" x14ac:dyDescent="0.35"/>
    <row r="827" ht="10.5" customHeight="1" x14ac:dyDescent="0.35"/>
    <row r="828" ht="10.5" customHeight="1" x14ac:dyDescent="0.35"/>
    <row r="829" ht="10.5" customHeight="1" x14ac:dyDescent="0.35"/>
    <row r="830" ht="10.5" customHeight="1" x14ac:dyDescent="0.35"/>
    <row r="831" ht="10.5" customHeight="1" x14ac:dyDescent="0.35"/>
    <row r="832" ht="10.5" customHeight="1" x14ac:dyDescent="0.35"/>
    <row r="833" ht="10.5" customHeight="1" x14ac:dyDescent="0.35"/>
    <row r="834" ht="10.5" customHeight="1" x14ac:dyDescent="0.35"/>
    <row r="835" ht="10.5" customHeight="1" x14ac:dyDescent="0.35"/>
    <row r="836" ht="10.5" customHeight="1" x14ac:dyDescent="0.35"/>
    <row r="837" ht="10.5" customHeight="1" x14ac:dyDescent="0.35"/>
    <row r="838" ht="10.5" customHeight="1" x14ac:dyDescent="0.35"/>
    <row r="839" ht="10.5" customHeight="1" x14ac:dyDescent="0.35"/>
    <row r="840" ht="10.5" customHeight="1" x14ac:dyDescent="0.35"/>
    <row r="841" ht="10.5" customHeight="1" x14ac:dyDescent="0.35"/>
    <row r="842" ht="10.5" customHeight="1" x14ac:dyDescent="0.35"/>
    <row r="843" ht="10.5" customHeight="1" x14ac:dyDescent="0.35"/>
    <row r="844" ht="10.5" customHeight="1" x14ac:dyDescent="0.35"/>
    <row r="845" ht="10.5" customHeight="1" x14ac:dyDescent="0.35"/>
    <row r="846" ht="10.5" customHeight="1" x14ac:dyDescent="0.35"/>
    <row r="847" ht="10.5" customHeight="1" x14ac:dyDescent="0.35"/>
    <row r="848" ht="10.5" customHeight="1" x14ac:dyDescent="0.35"/>
    <row r="849" ht="10.5" customHeight="1" x14ac:dyDescent="0.35"/>
    <row r="850" ht="10.5" customHeight="1" x14ac:dyDescent="0.35"/>
    <row r="851" ht="10.5" customHeight="1" x14ac:dyDescent="0.35"/>
    <row r="852" ht="10.5" customHeight="1" x14ac:dyDescent="0.35"/>
    <row r="853" ht="10.5" customHeight="1" x14ac:dyDescent="0.35"/>
    <row r="854" ht="10.5" customHeight="1" x14ac:dyDescent="0.35"/>
    <row r="855" ht="10.5" customHeight="1" x14ac:dyDescent="0.35"/>
    <row r="856" ht="10.5" customHeight="1" x14ac:dyDescent="0.35"/>
    <row r="857" ht="10.5" customHeight="1" x14ac:dyDescent="0.35"/>
    <row r="858" ht="10.5" customHeight="1" x14ac:dyDescent="0.35"/>
    <row r="859" ht="10.5" customHeight="1" x14ac:dyDescent="0.35"/>
    <row r="860" ht="10.5" customHeight="1" x14ac:dyDescent="0.35"/>
    <row r="861" ht="10.5" customHeight="1" x14ac:dyDescent="0.35"/>
    <row r="862" ht="10.5" customHeight="1" x14ac:dyDescent="0.35"/>
    <row r="863" ht="10.5" customHeight="1" x14ac:dyDescent="0.35"/>
    <row r="864" ht="10.5" customHeight="1" x14ac:dyDescent="0.35"/>
    <row r="865" ht="10.5" customHeight="1" x14ac:dyDescent="0.35"/>
    <row r="866" ht="10.5" customHeight="1" x14ac:dyDescent="0.35"/>
    <row r="867" ht="10.5" customHeight="1" x14ac:dyDescent="0.35"/>
    <row r="868" ht="10.5" customHeight="1" x14ac:dyDescent="0.35"/>
    <row r="869" ht="10.5" customHeight="1" x14ac:dyDescent="0.35"/>
    <row r="870" ht="10.5" customHeight="1" x14ac:dyDescent="0.35"/>
    <row r="871" ht="10.5" customHeight="1" x14ac:dyDescent="0.35"/>
    <row r="872" ht="10.5" customHeight="1" x14ac:dyDescent="0.35"/>
    <row r="873" ht="10.5" customHeight="1" x14ac:dyDescent="0.35"/>
    <row r="874" ht="10.5" customHeight="1" x14ac:dyDescent="0.35"/>
    <row r="875" ht="10.5" customHeight="1" x14ac:dyDescent="0.35"/>
    <row r="876" ht="10.5" customHeight="1" x14ac:dyDescent="0.35"/>
    <row r="877" ht="10.5" customHeight="1" x14ac:dyDescent="0.35"/>
    <row r="878" ht="10.5" customHeight="1" x14ac:dyDescent="0.35"/>
    <row r="879" ht="10.5" customHeight="1" x14ac:dyDescent="0.35"/>
    <row r="880" ht="10.5" customHeight="1" x14ac:dyDescent="0.35"/>
    <row r="881" ht="10.5" customHeight="1" x14ac:dyDescent="0.35"/>
    <row r="882" ht="10.5" customHeight="1" x14ac:dyDescent="0.35"/>
    <row r="883" ht="10.5" customHeight="1" x14ac:dyDescent="0.35"/>
    <row r="884" ht="10.5" customHeight="1" x14ac:dyDescent="0.35"/>
    <row r="885" ht="10.5" customHeight="1" x14ac:dyDescent="0.35"/>
    <row r="886" ht="10.5" customHeight="1" x14ac:dyDescent="0.35"/>
    <row r="887" ht="10.5" customHeight="1" x14ac:dyDescent="0.35"/>
    <row r="888" ht="10.5" customHeight="1" x14ac:dyDescent="0.35"/>
    <row r="889" ht="10.5" customHeight="1" x14ac:dyDescent="0.35"/>
    <row r="890" ht="10.5" customHeight="1" x14ac:dyDescent="0.35"/>
    <row r="891" ht="10.5" customHeight="1" x14ac:dyDescent="0.35"/>
    <row r="892" ht="10.5" customHeight="1" x14ac:dyDescent="0.35"/>
    <row r="893" ht="10.5" customHeight="1" x14ac:dyDescent="0.35"/>
    <row r="894" ht="10.5" customHeight="1" x14ac:dyDescent="0.35"/>
    <row r="895" ht="10.5" customHeight="1" x14ac:dyDescent="0.35"/>
    <row r="896" ht="10.5" customHeight="1" x14ac:dyDescent="0.35"/>
    <row r="897" ht="10.5" customHeight="1" x14ac:dyDescent="0.35"/>
    <row r="898" ht="10.5" customHeight="1" x14ac:dyDescent="0.35"/>
    <row r="899" ht="10.5" customHeight="1" x14ac:dyDescent="0.35"/>
    <row r="900" ht="10.5" customHeight="1" x14ac:dyDescent="0.35"/>
    <row r="901" ht="10.5" customHeight="1" x14ac:dyDescent="0.35"/>
    <row r="902" ht="10.5" customHeight="1" x14ac:dyDescent="0.35"/>
    <row r="903" ht="10.5" customHeight="1" x14ac:dyDescent="0.35"/>
    <row r="904" ht="10.5" customHeight="1" x14ac:dyDescent="0.35"/>
    <row r="905" ht="10.5" customHeight="1" x14ac:dyDescent="0.35"/>
    <row r="906" ht="10.5" customHeight="1" x14ac:dyDescent="0.35"/>
    <row r="907" ht="10.5" customHeight="1" x14ac:dyDescent="0.35"/>
    <row r="908" ht="10.5" customHeight="1" x14ac:dyDescent="0.35"/>
    <row r="909" ht="10.5" customHeight="1" x14ac:dyDescent="0.35"/>
    <row r="910" ht="10.5" customHeight="1" x14ac:dyDescent="0.35"/>
    <row r="911" ht="10.5" customHeight="1" x14ac:dyDescent="0.35"/>
    <row r="912" ht="10.5" customHeight="1" x14ac:dyDescent="0.35"/>
    <row r="913" ht="10.5" customHeight="1" x14ac:dyDescent="0.35"/>
    <row r="914" ht="10.5" customHeight="1" x14ac:dyDescent="0.35"/>
    <row r="915" ht="10.5" customHeight="1" x14ac:dyDescent="0.35"/>
    <row r="916" ht="10.5" customHeight="1" x14ac:dyDescent="0.35"/>
    <row r="917" ht="10.5" customHeight="1" x14ac:dyDescent="0.35"/>
    <row r="918" ht="10.5" customHeight="1" x14ac:dyDescent="0.35"/>
    <row r="919" ht="10.5" customHeight="1" x14ac:dyDescent="0.35"/>
    <row r="920" ht="10.5" customHeight="1" x14ac:dyDescent="0.35"/>
    <row r="921" ht="10.5" customHeight="1" x14ac:dyDescent="0.35"/>
    <row r="922" ht="10.5" customHeight="1" x14ac:dyDescent="0.35"/>
    <row r="923" ht="10.5" customHeight="1" x14ac:dyDescent="0.35"/>
    <row r="924" ht="10.5" customHeight="1" x14ac:dyDescent="0.35"/>
    <row r="925" ht="10.5" customHeight="1" x14ac:dyDescent="0.35"/>
    <row r="926" ht="10.5" customHeight="1" x14ac:dyDescent="0.35"/>
    <row r="927" ht="10.5" customHeight="1" x14ac:dyDescent="0.35"/>
    <row r="928" ht="10.5" customHeight="1" x14ac:dyDescent="0.35"/>
    <row r="929" ht="10.5" customHeight="1" x14ac:dyDescent="0.35"/>
    <row r="930" ht="10.5" customHeight="1" x14ac:dyDescent="0.35"/>
    <row r="931" ht="10.5" customHeight="1" x14ac:dyDescent="0.35"/>
    <row r="932" ht="10.5" customHeight="1" x14ac:dyDescent="0.35"/>
    <row r="933" ht="10.5" customHeight="1" x14ac:dyDescent="0.35"/>
    <row r="934" ht="10.5" customHeight="1" x14ac:dyDescent="0.35"/>
    <row r="935" ht="10.5" customHeight="1" x14ac:dyDescent="0.35"/>
    <row r="936" ht="10.5" customHeight="1" x14ac:dyDescent="0.35"/>
    <row r="937" ht="10.5" customHeight="1" x14ac:dyDescent="0.35"/>
    <row r="938" ht="10.5" customHeight="1" x14ac:dyDescent="0.35"/>
    <row r="939" ht="10.5" customHeight="1" x14ac:dyDescent="0.35"/>
    <row r="940" ht="10.5" customHeight="1" x14ac:dyDescent="0.35"/>
    <row r="941" ht="10.5" customHeight="1" x14ac:dyDescent="0.35"/>
    <row r="942" ht="10.5" customHeight="1" x14ac:dyDescent="0.35"/>
    <row r="943" ht="10.5" customHeight="1" x14ac:dyDescent="0.35"/>
    <row r="944" ht="10.5" customHeight="1" x14ac:dyDescent="0.35"/>
    <row r="945" ht="10.5" customHeight="1" x14ac:dyDescent="0.35"/>
    <row r="946" ht="10.5" customHeight="1" x14ac:dyDescent="0.35"/>
    <row r="947" ht="10.5" customHeight="1" x14ac:dyDescent="0.35"/>
    <row r="948" ht="10.5" customHeight="1" x14ac:dyDescent="0.35"/>
    <row r="949" ht="10.5" customHeight="1" x14ac:dyDescent="0.35"/>
    <row r="950" ht="10.5" customHeight="1" x14ac:dyDescent="0.35"/>
    <row r="951" ht="10.5" customHeight="1" x14ac:dyDescent="0.35"/>
    <row r="952" ht="10.5" customHeight="1" x14ac:dyDescent="0.35"/>
    <row r="953" ht="10.5" customHeight="1" x14ac:dyDescent="0.35"/>
    <row r="954" ht="10.5" customHeight="1" x14ac:dyDescent="0.35"/>
    <row r="955" ht="10.5" customHeight="1" x14ac:dyDescent="0.35"/>
    <row r="956" ht="10.5" customHeight="1" x14ac:dyDescent="0.35"/>
    <row r="957" ht="10.5" customHeight="1" x14ac:dyDescent="0.35"/>
    <row r="958" ht="10.5" customHeight="1" x14ac:dyDescent="0.35"/>
    <row r="959" ht="10.5" customHeight="1" x14ac:dyDescent="0.35"/>
    <row r="960" ht="10.5" customHeight="1" x14ac:dyDescent="0.35"/>
    <row r="961" ht="10.5" customHeight="1" x14ac:dyDescent="0.35"/>
    <row r="962" ht="10.5" customHeight="1" x14ac:dyDescent="0.35"/>
    <row r="963" ht="10.5" customHeight="1" x14ac:dyDescent="0.35"/>
    <row r="964" ht="10.5" customHeight="1" x14ac:dyDescent="0.35"/>
    <row r="965" ht="10.5" customHeight="1" x14ac:dyDescent="0.35"/>
    <row r="966" ht="10.5" customHeight="1" x14ac:dyDescent="0.35"/>
    <row r="967" ht="10.5" customHeight="1" x14ac:dyDescent="0.35"/>
    <row r="968" ht="10.5" customHeight="1" x14ac:dyDescent="0.35"/>
    <row r="969" ht="10.5" customHeight="1" x14ac:dyDescent="0.35"/>
    <row r="970" ht="10.5" customHeight="1" x14ac:dyDescent="0.35"/>
    <row r="971" ht="10.5" customHeight="1" x14ac:dyDescent="0.35"/>
    <row r="972" ht="10.5" customHeight="1" x14ac:dyDescent="0.35"/>
    <row r="973" ht="10.5" customHeight="1" x14ac:dyDescent="0.35"/>
    <row r="974" ht="10.5" customHeight="1" x14ac:dyDescent="0.35"/>
    <row r="975" ht="10.5" customHeight="1" x14ac:dyDescent="0.35"/>
    <row r="976" ht="10.5" customHeight="1" x14ac:dyDescent="0.35"/>
    <row r="977" ht="10.5" customHeight="1" x14ac:dyDescent="0.35"/>
    <row r="978" ht="10.5" customHeight="1" x14ac:dyDescent="0.35"/>
    <row r="979" ht="10.5" customHeight="1" x14ac:dyDescent="0.35"/>
    <row r="980" ht="10.5" customHeight="1" x14ac:dyDescent="0.35"/>
    <row r="981" ht="10.5" customHeight="1" x14ac:dyDescent="0.35"/>
    <row r="982" ht="10.5" customHeight="1" x14ac:dyDescent="0.35"/>
    <row r="983" ht="10.5" customHeight="1" x14ac:dyDescent="0.35"/>
    <row r="984" ht="10.5" customHeight="1" x14ac:dyDescent="0.35"/>
    <row r="985" ht="10.5" customHeight="1" x14ac:dyDescent="0.35"/>
    <row r="986" ht="10.5" customHeight="1" x14ac:dyDescent="0.35"/>
    <row r="987" ht="10.5" customHeight="1" x14ac:dyDescent="0.35"/>
    <row r="988" ht="10.5" customHeight="1" x14ac:dyDescent="0.35"/>
    <row r="989" ht="10.5" customHeight="1" x14ac:dyDescent="0.35"/>
    <row r="990" ht="10.5" customHeight="1" x14ac:dyDescent="0.35"/>
    <row r="991" ht="10.5" customHeight="1" x14ac:dyDescent="0.35"/>
    <row r="992" ht="10.5" customHeight="1" x14ac:dyDescent="0.35"/>
    <row r="993" ht="10.5" customHeight="1" x14ac:dyDescent="0.35"/>
    <row r="994" ht="10.5" customHeight="1" x14ac:dyDescent="0.35"/>
    <row r="995" ht="10.5" customHeight="1" x14ac:dyDescent="0.35"/>
    <row r="996" ht="10.5" customHeight="1" x14ac:dyDescent="0.35"/>
    <row r="997" ht="10.5" customHeight="1" x14ac:dyDescent="0.35"/>
    <row r="998" ht="10.5" customHeight="1" x14ac:dyDescent="0.35"/>
    <row r="999" ht="10.5" customHeight="1" x14ac:dyDescent="0.35"/>
    <row r="1000" ht="10.5" customHeight="1" x14ac:dyDescent="0.35"/>
  </sheetData>
  <mergeCells count="2">
    <mergeCell ref="E6:I10"/>
    <mergeCell ref="E35:I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91"/>
  <sheetViews>
    <sheetView topLeftCell="G1" workbookViewId="0">
      <selection activeCell="I6" sqref="I6"/>
    </sheetView>
  </sheetViews>
  <sheetFormatPr baseColWidth="10" defaultColWidth="14.453125" defaultRowHeight="14.5" x14ac:dyDescent="0.35"/>
  <cols>
    <col min="1" max="4" width="14.453125" hidden="1" customWidth="1"/>
    <col min="5" max="5" width="5.54296875" hidden="1" customWidth="1"/>
    <col min="6" max="6" width="4" hidden="1" customWidth="1"/>
    <col min="7" max="7" width="9.81640625" customWidth="1"/>
    <col min="8" max="8" width="35.453125" customWidth="1"/>
    <col min="9" max="9" width="18" customWidth="1"/>
    <col min="10" max="10" width="35.36328125" bestFit="1" customWidth="1"/>
    <col min="11" max="11" width="27.08984375" bestFit="1" customWidth="1"/>
    <col min="12" max="12" width="31.26953125" bestFit="1" customWidth="1"/>
    <col min="13" max="13" width="35" customWidth="1"/>
    <col min="14" max="14" width="15.54296875" customWidth="1"/>
    <col min="15" max="15" width="33.54296875" customWidth="1"/>
    <col min="16" max="16" width="19.1796875" customWidth="1"/>
    <col min="17" max="17" width="19" customWidth="1"/>
    <col min="18" max="18" width="22.7265625" customWidth="1"/>
    <col min="19" max="19" width="20.54296875" customWidth="1"/>
  </cols>
  <sheetData>
    <row r="1" spans="5:29" x14ac:dyDescent="0.35">
      <c r="E1" s="11" t="s">
        <v>0</v>
      </c>
      <c r="F1" s="11"/>
      <c r="G1" s="21" t="s">
        <v>1</v>
      </c>
      <c r="H1" s="21" t="s">
        <v>2</v>
      </c>
      <c r="I1" s="21" t="s">
        <v>3</v>
      </c>
      <c r="J1" s="21" t="s">
        <v>4</v>
      </c>
      <c r="K1" s="22" t="s">
        <v>5</v>
      </c>
      <c r="L1" s="21" t="s">
        <v>6</v>
      </c>
      <c r="M1" s="21" t="s">
        <v>7</v>
      </c>
      <c r="N1" s="21" t="s">
        <v>8</v>
      </c>
      <c r="O1" s="22" t="s">
        <v>9</v>
      </c>
      <c r="P1" s="22" t="s">
        <v>10</v>
      </c>
      <c r="Q1" s="21" t="s">
        <v>11</v>
      </c>
      <c r="R1" s="22" t="s">
        <v>12</v>
      </c>
      <c r="S1" s="23" t="s">
        <v>13</v>
      </c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5:29" ht="36" customHeight="1" x14ac:dyDescent="0.35">
      <c r="E2" s="13" t="s">
        <v>41</v>
      </c>
      <c r="F2" s="13">
        <v>1</v>
      </c>
      <c r="G2" s="24" t="s">
        <v>42</v>
      </c>
      <c r="H2" s="25" t="s">
        <v>43</v>
      </c>
      <c r="I2" s="25" t="s">
        <v>23</v>
      </c>
      <c r="J2" s="25" t="s">
        <v>44</v>
      </c>
      <c r="K2" s="25" t="s">
        <v>45</v>
      </c>
      <c r="L2" s="25" t="s">
        <v>46</v>
      </c>
      <c r="M2" s="25" t="s">
        <v>47</v>
      </c>
      <c r="N2" s="25" t="s">
        <v>48</v>
      </c>
      <c r="O2" s="25" t="s">
        <v>49</v>
      </c>
      <c r="P2" s="25" t="s">
        <v>24</v>
      </c>
      <c r="Q2" s="25" t="s">
        <v>15</v>
      </c>
      <c r="R2" s="25" t="s">
        <v>30</v>
      </c>
      <c r="S2" s="25" t="s">
        <v>50</v>
      </c>
      <c r="T2" s="12"/>
      <c r="U2" s="14"/>
      <c r="V2" s="14"/>
      <c r="W2" s="14"/>
      <c r="X2" s="14"/>
      <c r="Y2" s="14"/>
      <c r="Z2" s="14"/>
      <c r="AA2" s="14"/>
      <c r="AB2" s="14"/>
      <c r="AC2" s="14"/>
    </row>
    <row r="3" spans="5:29" ht="36" customHeight="1" x14ac:dyDescent="0.35">
      <c r="E3" s="13" t="s">
        <v>41</v>
      </c>
      <c r="F3" s="13">
        <v>2</v>
      </c>
      <c r="G3" s="24" t="str">
        <f t="shared" ref="G3" si="0">E3&amp;"_00"&amp;F3</f>
        <v>SUT_002</v>
      </c>
      <c r="H3" s="25" t="s">
        <v>51</v>
      </c>
      <c r="I3" s="25" t="s">
        <v>23</v>
      </c>
      <c r="J3" s="25" t="s">
        <v>52</v>
      </c>
      <c r="K3" s="25" t="s">
        <v>53</v>
      </c>
      <c r="L3" s="25" t="s">
        <v>54</v>
      </c>
      <c r="M3" s="25" t="s">
        <v>55</v>
      </c>
      <c r="N3" s="25" t="s">
        <v>48</v>
      </c>
      <c r="O3" s="25" t="s">
        <v>56</v>
      </c>
      <c r="P3" s="25" t="s">
        <v>24</v>
      </c>
      <c r="Q3" s="25" t="s">
        <v>15</v>
      </c>
      <c r="R3" s="25" t="s">
        <v>30</v>
      </c>
      <c r="S3" s="25" t="s">
        <v>50</v>
      </c>
      <c r="T3" s="12"/>
      <c r="U3" s="14"/>
      <c r="V3" s="14"/>
      <c r="W3" s="14"/>
      <c r="X3" s="14"/>
      <c r="Y3" s="14"/>
      <c r="Z3" s="14"/>
      <c r="AA3" s="14"/>
      <c r="AB3" s="14"/>
      <c r="AC3" s="14"/>
    </row>
    <row r="4" spans="5:29" ht="29" x14ac:dyDescent="0.35">
      <c r="E4" s="13" t="s">
        <v>41</v>
      </c>
      <c r="F4" s="13">
        <v>3</v>
      </c>
      <c r="G4" s="24" t="s">
        <v>57</v>
      </c>
      <c r="H4" s="25" t="s">
        <v>58</v>
      </c>
      <c r="I4" s="25" t="s">
        <v>23</v>
      </c>
      <c r="J4" s="25" t="s">
        <v>59</v>
      </c>
      <c r="K4" s="25" t="s">
        <v>60</v>
      </c>
      <c r="L4" s="25" t="s">
        <v>61</v>
      </c>
      <c r="M4" s="25" t="s">
        <v>62</v>
      </c>
      <c r="N4" s="25" t="s">
        <v>48</v>
      </c>
      <c r="O4" s="25" t="s">
        <v>63</v>
      </c>
      <c r="P4" s="25" t="s">
        <v>24</v>
      </c>
      <c r="Q4" s="25" t="s">
        <v>15</v>
      </c>
      <c r="R4" s="25" t="s">
        <v>30</v>
      </c>
      <c r="S4" s="25" t="s">
        <v>50</v>
      </c>
      <c r="T4" s="12"/>
      <c r="U4" s="14"/>
      <c r="V4" s="14"/>
      <c r="W4" s="14"/>
      <c r="X4" s="14"/>
      <c r="Y4" s="14"/>
      <c r="Z4" s="14"/>
      <c r="AA4" s="14"/>
      <c r="AB4" s="14"/>
      <c r="AC4" s="14"/>
    </row>
    <row r="5" spans="5:29" ht="43.5" x14ac:dyDescent="0.35">
      <c r="E5" s="13" t="s">
        <v>41</v>
      </c>
      <c r="F5" s="13">
        <v>4</v>
      </c>
      <c r="G5" s="24" t="s">
        <v>64</v>
      </c>
      <c r="H5" s="25" t="s">
        <v>65</v>
      </c>
      <c r="I5" s="25" t="s">
        <v>23</v>
      </c>
      <c r="J5" s="25" t="s">
        <v>66</v>
      </c>
      <c r="K5" s="25" t="s">
        <v>67</v>
      </c>
      <c r="L5" s="25" t="s">
        <v>68</v>
      </c>
      <c r="M5" s="25" t="s">
        <v>69</v>
      </c>
      <c r="N5" s="25" t="s">
        <v>70</v>
      </c>
      <c r="O5" s="25" t="s">
        <v>71</v>
      </c>
      <c r="P5" s="25" t="s">
        <v>28</v>
      </c>
      <c r="Q5" s="25" t="s">
        <v>15</v>
      </c>
      <c r="R5" s="25" t="s">
        <v>30</v>
      </c>
      <c r="S5" s="25" t="s">
        <v>50</v>
      </c>
      <c r="T5" s="12"/>
      <c r="U5" s="14"/>
      <c r="V5" s="14"/>
      <c r="W5" s="14"/>
      <c r="X5" s="14"/>
      <c r="Y5" s="14"/>
      <c r="Z5" s="14"/>
      <c r="AA5" s="14"/>
      <c r="AB5" s="14"/>
      <c r="AC5" s="14"/>
    </row>
    <row r="6" spans="5:29" ht="36" customHeight="1" x14ac:dyDescent="0.35">
      <c r="E6" s="13" t="s">
        <v>41</v>
      </c>
      <c r="F6" s="13">
        <v>5</v>
      </c>
      <c r="G6" s="24" t="s">
        <v>72</v>
      </c>
      <c r="H6" s="25" t="s">
        <v>73</v>
      </c>
      <c r="I6" s="25" t="s">
        <v>23</v>
      </c>
      <c r="J6" s="25" t="s">
        <v>59</v>
      </c>
      <c r="K6" s="25" t="s">
        <v>60</v>
      </c>
      <c r="L6" s="25" t="s">
        <v>74</v>
      </c>
      <c r="M6" s="25" t="s">
        <v>62</v>
      </c>
      <c r="N6" s="25" t="s">
        <v>70</v>
      </c>
      <c r="O6" s="25" t="s">
        <v>75</v>
      </c>
      <c r="P6" s="25" t="s">
        <v>24</v>
      </c>
      <c r="Q6" s="25" t="s">
        <v>15</v>
      </c>
      <c r="R6" s="25" t="s">
        <v>30</v>
      </c>
      <c r="S6" s="25" t="s">
        <v>50</v>
      </c>
      <c r="T6" s="12"/>
      <c r="U6" s="14"/>
      <c r="V6" s="14"/>
      <c r="W6" s="14"/>
      <c r="X6" s="14"/>
      <c r="Y6" s="14"/>
      <c r="Z6" s="14"/>
      <c r="AA6" s="14"/>
      <c r="AB6" s="14"/>
      <c r="AC6" s="14"/>
    </row>
    <row r="7" spans="5:29" ht="43.5" x14ac:dyDescent="0.35">
      <c r="E7" s="13" t="s">
        <v>41</v>
      </c>
      <c r="F7" s="13">
        <v>6</v>
      </c>
      <c r="G7" s="24" t="s">
        <v>76</v>
      </c>
      <c r="H7" s="25" t="s">
        <v>77</v>
      </c>
      <c r="I7" s="25" t="s">
        <v>23</v>
      </c>
      <c r="J7" s="25" t="s">
        <v>78</v>
      </c>
      <c r="K7" s="25" t="s">
        <v>79</v>
      </c>
      <c r="L7" s="25" t="s">
        <v>80</v>
      </c>
      <c r="M7" s="25" t="s">
        <v>81</v>
      </c>
      <c r="N7" s="25" t="s">
        <v>70</v>
      </c>
      <c r="O7" s="25" t="s">
        <v>82</v>
      </c>
      <c r="P7" s="25" t="s">
        <v>28</v>
      </c>
      <c r="Q7" s="25" t="s">
        <v>15</v>
      </c>
      <c r="R7" s="25" t="s">
        <v>30</v>
      </c>
      <c r="S7" s="25" t="s">
        <v>50</v>
      </c>
      <c r="T7" s="12"/>
      <c r="U7" s="14"/>
      <c r="V7" s="14"/>
      <c r="W7" s="14"/>
      <c r="X7" s="14"/>
      <c r="Y7" s="14"/>
      <c r="Z7" s="14"/>
      <c r="AA7" s="14"/>
      <c r="AB7" s="14"/>
      <c r="AC7" s="14"/>
    </row>
    <row r="8" spans="5:29" ht="36" customHeight="1" x14ac:dyDescent="0.35">
      <c r="E8" s="13" t="s">
        <v>41</v>
      </c>
      <c r="F8" s="13">
        <v>7</v>
      </c>
      <c r="G8" s="24" t="s">
        <v>83</v>
      </c>
      <c r="H8" s="25" t="s">
        <v>84</v>
      </c>
      <c r="I8" s="25" t="s">
        <v>23</v>
      </c>
      <c r="J8" s="25" t="s">
        <v>85</v>
      </c>
      <c r="K8" s="25" t="s">
        <v>86</v>
      </c>
      <c r="L8" s="25" t="s">
        <v>87</v>
      </c>
      <c r="M8" s="25" t="s">
        <v>88</v>
      </c>
      <c r="N8" s="25" t="s">
        <v>70</v>
      </c>
      <c r="O8" s="25" t="s">
        <v>89</v>
      </c>
      <c r="P8" s="25" t="s">
        <v>28</v>
      </c>
      <c r="Q8" s="25" t="s">
        <v>15</v>
      </c>
      <c r="R8" s="25" t="s">
        <v>30</v>
      </c>
      <c r="S8" s="25" t="s">
        <v>50</v>
      </c>
      <c r="T8" s="12"/>
      <c r="U8" s="14"/>
      <c r="V8" s="14"/>
      <c r="W8" s="14"/>
      <c r="X8" s="14"/>
      <c r="Y8" s="14"/>
      <c r="Z8" s="14"/>
      <c r="AA8" s="14"/>
      <c r="AB8" s="14"/>
      <c r="AC8" s="14"/>
    </row>
    <row r="9" spans="5:29" ht="36" customHeight="1" x14ac:dyDescent="0.35">
      <c r="E9" s="13" t="s">
        <v>41</v>
      </c>
      <c r="F9" s="13">
        <v>8</v>
      </c>
      <c r="G9" s="24" t="s">
        <v>90</v>
      </c>
      <c r="H9" s="25" t="s">
        <v>91</v>
      </c>
      <c r="I9" s="25" t="s">
        <v>23</v>
      </c>
      <c r="J9" s="25" t="s">
        <v>92</v>
      </c>
      <c r="K9" s="25" t="s">
        <v>93</v>
      </c>
      <c r="L9" s="25" t="s">
        <v>94</v>
      </c>
      <c r="M9" s="25" t="s">
        <v>95</v>
      </c>
      <c r="N9" s="25" t="s">
        <v>70</v>
      </c>
      <c r="O9" s="25" t="s">
        <v>96</v>
      </c>
      <c r="P9" s="25" t="s">
        <v>28</v>
      </c>
      <c r="Q9" s="25" t="s">
        <v>15</v>
      </c>
      <c r="R9" s="25" t="s">
        <v>30</v>
      </c>
      <c r="S9" s="25" t="s">
        <v>50</v>
      </c>
      <c r="T9" s="12"/>
      <c r="U9" s="14"/>
      <c r="V9" s="14"/>
      <c r="W9" s="14"/>
      <c r="X9" s="14"/>
      <c r="Y9" s="14"/>
      <c r="Z9" s="14"/>
      <c r="AA9" s="14"/>
      <c r="AB9" s="14"/>
      <c r="AC9" s="14"/>
    </row>
    <row r="10" spans="5:29" ht="36" customHeight="1" x14ac:dyDescent="0.35">
      <c r="E10" s="13" t="s">
        <v>41</v>
      </c>
      <c r="F10" s="13">
        <v>9</v>
      </c>
      <c r="G10" s="24" t="s">
        <v>97</v>
      </c>
      <c r="H10" s="25" t="s">
        <v>98</v>
      </c>
      <c r="I10" s="25" t="s">
        <v>23</v>
      </c>
      <c r="J10" s="25" t="s">
        <v>99</v>
      </c>
      <c r="K10" s="25" t="s">
        <v>93</v>
      </c>
      <c r="L10" s="25" t="s">
        <v>100</v>
      </c>
      <c r="M10" s="25" t="s">
        <v>101</v>
      </c>
      <c r="N10" s="25" t="s">
        <v>70</v>
      </c>
      <c r="O10" s="25" t="s">
        <v>102</v>
      </c>
      <c r="P10" s="25" t="s">
        <v>28</v>
      </c>
      <c r="Q10" s="25" t="s">
        <v>15</v>
      </c>
      <c r="R10" s="25" t="s">
        <v>30</v>
      </c>
      <c r="S10" s="25" t="s">
        <v>50</v>
      </c>
      <c r="T10" s="12"/>
      <c r="U10" s="14"/>
      <c r="V10" s="14"/>
      <c r="W10" s="14"/>
      <c r="X10" s="14"/>
      <c r="Y10" s="14"/>
      <c r="Z10" s="14"/>
      <c r="AA10" s="14"/>
      <c r="AB10" s="14"/>
      <c r="AC10" s="14"/>
    </row>
    <row r="11" spans="5:29" ht="43.5" x14ac:dyDescent="0.35">
      <c r="E11" s="13" t="s">
        <v>41</v>
      </c>
      <c r="F11" s="13">
        <v>10</v>
      </c>
      <c r="G11" s="24" t="s">
        <v>103</v>
      </c>
      <c r="H11" s="25" t="s">
        <v>104</v>
      </c>
      <c r="I11" s="25" t="s">
        <v>23</v>
      </c>
      <c r="J11" s="25" t="s">
        <v>105</v>
      </c>
      <c r="K11" s="25" t="s">
        <v>106</v>
      </c>
      <c r="L11" s="25" t="s">
        <v>107</v>
      </c>
      <c r="M11" s="25" t="s">
        <v>108</v>
      </c>
      <c r="N11" s="25" t="s">
        <v>70</v>
      </c>
      <c r="O11" s="25" t="s">
        <v>109</v>
      </c>
      <c r="P11" s="25" t="s">
        <v>28</v>
      </c>
      <c r="Q11" s="25" t="s">
        <v>15</v>
      </c>
      <c r="R11" s="25" t="s">
        <v>30</v>
      </c>
      <c r="S11" s="25" t="s">
        <v>50</v>
      </c>
      <c r="T11" s="12"/>
      <c r="U11" s="14"/>
      <c r="V11" s="14"/>
      <c r="W11" s="14"/>
      <c r="X11" s="14"/>
      <c r="Y11" s="14"/>
      <c r="Z11" s="14"/>
      <c r="AA11" s="14"/>
      <c r="AB11" s="14"/>
      <c r="AC11" s="14"/>
    </row>
    <row r="12" spans="5:29" ht="43.5" x14ac:dyDescent="0.35">
      <c r="E12" s="13" t="s">
        <v>41</v>
      </c>
      <c r="F12" s="13">
        <v>11</v>
      </c>
      <c r="G12" s="24" t="s">
        <v>110</v>
      </c>
      <c r="H12" s="25" t="s">
        <v>111</v>
      </c>
      <c r="I12" s="25" t="s">
        <v>23</v>
      </c>
      <c r="J12" s="25" t="s">
        <v>112</v>
      </c>
      <c r="K12" s="25" t="s">
        <v>113</v>
      </c>
      <c r="L12" s="25" t="s">
        <v>114</v>
      </c>
      <c r="M12" s="25" t="s">
        <v>115</v>
      </c>
      <c r="N12" s="25" t="s">
        <v>70</v>
      </c>
      <c r="O12" s="25" t="s">
        <v>116</v>
      </c>
      <c r="P12" s="25" t="s">
        <v>28</v>
      </c>
      <c r="Q12" s="25" t="s">
        <v>15</v>
      </c>
      <c r="R12" s="25" t="s">
        <v>30</v>
      </c>
      <c r="S12" s="25" t="s">
        <v>50</v>
      </c>
      <c r="T12" s="12"/>
      <c r="U12" s="14"/>
      <c r="V12" s="14"/>
      <c r="W12" s="14"/>
      <c r="X12" s="14"/>
      <c r="Y12" s="14"/>
      <c r="Z12" s="14"/>
      <c r="AA12" s="14"/>
      <c r="AB12" s="14"/>
      <c r="AC12" s="14"/>
    </row>
    <row r="13" spans="5:29" ht="29" x14ac:dyDescent="0.35">
      <c r="E13" s="13" t="s">
        <v>41</v>
      </c>
      <c r="F13" s="13">
        <v>12</v>
      </c>
      <c r="G13" s="24" t="s">
        <v>117</v>
      </c>
      <c r="H13" s="25" t="s">
        <v>118</v>
      </c>
      <c r="I13" s="25" t="s">
        <v>23</v>
      </c>
      <c r="J13" s="25" t="s">
        <v>119</v>
      </c>
      <c r="K13" s="25" t="s">
        <v>120</v>
      </c>
      <c r="L13" s="25" t="s">
        <v>121</v>
      </c>
      <c r="M13" s="25" t="s">
        <v>122</v>
      </c>
      <c r="N13" s="25" t="s">
        <v>123</v>
      </c>
      <c r="O13" s="25" t="s">
        <v>124</v>
      </c>
      <c r="P13" s="25" t="s">
        <v>28</v>
      </c>
      <c r="Q13" s="25" t="s">
        <v>15</v>
      </c>
      <c r="R13" s="25" t="s">
        <v>30</v>
      </c>
      <c r="S13" s="25" t="s">
        <v>50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5:29" ht="29" x14ac:dyDescent="0.35">
      <c r="E14" s="13" t="s">
        <v>41</v>
      </c>
      <c r="F14" s="13">
        <v>13</v>
      </c>
      <c r="G14" s="24" t="s">
        <v>125</v>
      </c>
      <c r="H14" s="25" t="s">
        <v>126</v>
      </c>
      <c r="I14" s="25" t="s">
        <v>23</v>
      </c>
      <c r="J14" s="25" t="s">
        <v>127</v>
      </c>
      <c r="K14" s="25" t="s">
        <v>128</v>
      </c>
      <c r="L14" s="25" t="s">
        <v>129</v>
      </c>
      <c r="M14" s="25" t="s">
        <v>130</v>
      </c>
      <c r="N14" s="25" t="s">
        <v>123</v>
      </c>
      <c r="O14" s="25" t="s">
        <v>131</v>
      </c>
      <c r="P14" s="25" t="s">
        <v>24</v>
      </c>
      <c r="Q14" s="25" t="s">
        <v>15</v>
      </c>
      <c r="R14" s="25" t="s">
        <v>30</v>
      </c>
      <c r="S14" s="25" t="s">
        <v>50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5:29" ht="29" x14ac:dyDescent="0.35">
      <c r="E15" s="13" t="s">
        <v>41</v>
      </c>
      <c r="F15" s="13">
        <v>14</v>
      </c>
      <c r="G15" s="24" t="s">
        <v>132</v>
      </c>
      <c r="H15" s="25" t="s">
        <v>133</v>
      </c>
      <c r="I15" s="25" t="s">
        <v>23</v>
      </c>
      <c r="J15" s="25" t="s">
        <v>134</v>
      </c>
      <c r="K15" s="25" t="s">
        <v>135</v>
      </c>
      <c r="L15" s="25" t="s">
        <v>136</v>
      </c>
      <c r="M15" s="25" t="s">
        <v>137</v>
      </c>
      <c r="N15" s="25" t="s">
        <v>123</v>
      </c>
      <c r="O15" s="25" t="s">
        <v>138</v>
      </c>
      <c r="P15" s="25" t="s">
        <v>28</v>
      </c>
      <c r="Q15" s="25" t="s">
        <v>15</v>
      </c>
      <c r="R15" s="25" t="s">
        <v>30</v>
      </c>
      <c r="S15" s="25" t="s">
        <v>50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5:29" ht="43.5" x14ac:dyDescent="0.35">
      <c r="E16" s="13" t="s">
        <v>41</v>
      </c>
      <c r="F16" s="13">
        <v>15</v>
      </c>
      <c r="G16" s="24" t="s">
        <v>139</v>
      </c>
      <c r="H16" s="25" t="s">
        <v>140</v>
      </c>
      <c r="I16" s="25" t="s">
        <v>23</v>
      </c>
      <c r="J16" s="25" t="s">
        <v>141</v>
      </c>
      <c r="K16" s="25" t="s">
        <v>142</v>
      </c>
      <c r="L16" s="25" t="s">
        <v>143</v>
      </c>
      <c r="M16" s="25" t="s">
        <v>144</v>
      </c>
      <c r="N16" s="25" t="s">
        <v>123</v>
      </c>
      <c r="O16" s="25" t="s">
        <v>145</v>
      </c>
      <c r="P16" s="25" t="s">
        <v>28</v>
      </c>
      <c r="Q16" s="25" t="s">
        <v>15</v>
      </c>
      <c r="R16" s="25" t="s">
        <v>30</v>
      </c>
      <c r="S16" s="25" t="s">
        <v>50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5:29" ht="58" x14ac:dyDescent="0.35">
      <c r="E17" s="13" t="s">
        <v>41</v>
      </c>
      <c r="F17" s="13">
        <v>16</v>
      </c>
      <c r="G17" s="24" t="s">
        <v>146</v>
      </c>
      <c r="H17" s="25" t="s">
        <v>147</v>
      </c>
      <c r="I17" s="25" t="s">
        <v>23</v>
      </c>
      <c r="J17" s="25" t="s">
        <v>148</v>
      </c>
      <c r="K17" s="25" t="s">
        <v>149</v>
      </c>
      <c r="L17" s="25" t="s">
        <v>150</v>
      </c>
      <c r="M17" s="25" t="s">
        <v>151</v>
      </c>
      <c r="N17" s="25" t="s">
        <v>123</v>
      </c>
      <c r="O17" s="25" t="s">
        <v>152</v>
      </c>
      <c r="P17" s="25" t="s">
        <v>28</v>
      </c>
      <c r="Q17" s="25" t="s">
        <v>15</v>
      </c>
      <c r="R17" s="25" t="s">
        <v>30</v>
      </c>
      <c r="S17" s="25" t="s">
        <v>50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5:29" ht="58" x14ac:dyDescent="0.35">
      <c r="E18" s="13" t="s">
        <v>41</v>
      </c>
      <c r="F18" s="13">
        <v>17</v>
      </c>
      <c r="G18" s="24" t="s">
        <v>153</v>
      </c>
      <c r="H18" s="25" t="s">
        <v>154</v>
      </c>
      <c r="I18" s="25" t="s">
        <v>36</v>
      </c>
      <c r="J18" s="25" t="s">
        <v>155</v>
      </c>
      <c r="K18" s="25" t="s">
        <v>156</v>
      </c>
      <c r="L18" s="25" t="s">
        <v>157</v>
      </c>
      <c r="M18" s="25" t="s">
        <v>158</v>
      </c>
      <c r="N18" s="25" t="s">
        <v>70</v>
      </c>
      <c r="O18" s="25" t="s">
        <v>159</v>
      </c>
      <c r="P18" s="25" t="s">
        <v>24</v>
      </c>
      <c r="Q18" s="25" t="s">
        <v>17</v>
      </c>
      <c r="R18" s="25" t="s">
        <v>30</v>
      </c>
      <c r="S18" s="25" t="s">
        <v>50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5:29" ht="58" x14ac:dyDescent="0.35">
      <c r="E19" s="13" t="s">
        <v>41</v>
      </c>
      <c r="F19" s="13">
        <v>18</v>
      </c>
      <c r="G19" s="24" t="s">
        <v>160</v>
      </c>
      <c r="H19" s="25" t="s">
        <v>161</v>
      </c>
      <c r="I19" s="25" t="s">
        <v>36</v>
      </c>
      <c r="J19" s="25" t="s">
        <v>162</v>
      </c>
      <c r="K19" s="25" t="s">
        <v>156</v>
      </c>
      <c r="L19" s="25" t="s">
        <v>157</v>
      </c>
      <c r="M19" s="25" t="s">
        <v>163</v>
      </c>
      <c r="N19" s="25" t="s">
        <v>123</v>
      </c>
      <c r="O19" s="25" t="s">
        <v>164</v>
      </c>
      <c r="P19" s="25" t="s">
        <v>24</v>
      </c>
      <c r="Q19" s="25" t="s">
        <v>17</v>
      </c>
      <c r="R19" s="25" t="s">
        <v>30</v>
      </c>
      <c r="S19" s="25" t="s">
        <v>50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5:29" x14ac:dyDescent="0.35">
      <c r="E20" s="13"/>
      <c r="F20" s="13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5:29" x14ac:dyDescent="0.35">
      <c r="E21" s="13"/>
      <c r="F21" s="13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5:29" x14ac:dyDescent="0.35">
      <c r="E22" s="13"/>
      <c r="F22" s="13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5:29" x14ac:dyDescent="0.35">
      <c r="E23" s="13"/>
      <c r="F23" s="13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5:29" x14ac:dyDescent="0.35">
      <c r="E24" s="13"/>
      <c r="F24" s="13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5:29" x14ac:dyDescent="0.35">
      <c r="E25" s="13"/>
      <c r="F25" s="13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5:29" x14ac:dyDescent="0.35">
      <c r="E26" s="13"/>
      <c r="F26" s="13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5:29" x14ac:dyDescent="0.35">
      <c r="E27" s="13"/>
      <c r="F27" s="13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5:29" x14ac:dyDescent="0.35">
      <c r="E28" s="13"/>
      <c r="F28" s="13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5:29" x14ac:dyDescent="0.35">
      <c r="E29" s="13"/>
      <c r="F29" s="13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5:29" x14ac:dyDescent="0.35">
      <c r="E30" s="13"/>
      <c r="F30" s="13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5:29" x14ac:dyDescent="0.35">
      <c r="E31" s="13"/>
      <c r="F31" s="13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5:29" x14ac:dyDescent="0.35">
      <c r="E32" s="13"/>
      <c r="F32" s="13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5:29" x14ac:dyDescent="0.35">
      <c r="E33" s="13"/>
      <c r="F33" s="13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5:29" x14ac:dyDescent="0.35">
      <c r="E34" s="13"/>
      <c r="F34" s="13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5:29" x14ac:dyDescent="0.35">
      <c r="E35" s="13"/>
      <c r="F35" s="13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5:29" x14ac:dyDescent="0.35">
      <c r="E36" s="13"/>
      <c r="F36" s="13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5:29" x14ac:dyDescent="0.35">
      <c r="E37" s="13"/>
      <c r="F37" s="13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5:29" x14ac:dyDescent="0.35">
      <c r="E38" s="13"/>
      <c r="F38" s="13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5:29" x14ac:dyDescent="0.35">
      <c r="E39" s="13"/>
      <c r="F39" s="13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5:29" x14ac:dyDescent="0.35">
      <c r="E40" s="13"/>
      <c r="F40" s="13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5:29" x14ac:dyDescent="0.35">
      <c r="E41" s="13"/>
      <c r="F41" s="13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5:29" x14ac:dyDescent="0.35">
      <c r="E42" s="13"/>
      <c r="F42" s="13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5:29" x14ac:dyDescent="0.35">
      <c r="E43" s="13"/>
      <c r="F43" s="13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5:29" x14ac:dyDescent="0.35">
      <c r="E44" s="13"/>
      <c r="F44" s="13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5:29" x14ac:dyDescent="0.35">
      <c r="E45" s="13"/>
      <c r="F45" s="13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5:29" x14ac:dyDescent="0.35">
      <c r="E46" s="13"/>
      <c r="F46" s="13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5:29" x14ac:dyDescent="0.35">
      <c r="E47" s="13"/>
      <c r="F47" s="13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5:29" x14ac:dyDescent="0.35">
      <c r="E48" s="13"/>
      <c r="F48" s="13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5:29" x14ac:dyDescent="0.35">
      <c r="E49" s="13"/>
      <c r="F49" s="13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5:29" x14ac:dyDescent="0.35">
      <c r="E50" s="13"/>
      <c r="F50" s="13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5:29" x14ac:dyDescent="0.35">
      <c r="E51" s="13"/>
      <c r="F51" s="13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5:29" x14ac:dyDescent="0.35">
      <c r="E52" s="13"/>
      <c r="F52" s="13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5:29" x14ac:dyDescent="0.35">
      <c r="E53" s="13"/>
      <c r="F53" s="13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5:29" x14ac:dyDescent="0.35">
      <c r="E54" s="13"/>
      <c r="F54" s="13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5:29" x14ac:dyDescent="0.35">
      <c r="E55" s="13"/>
      <c r="F55" s="13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5:29" ht="29.5" customHeight="1" x14ac:dyDescent="0.35">
      <c r="E56" s="13"/>
      <c r="F56" s="13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5:29" x14ac:dyDescent="0.35">
      <c r="E57" s="13"/>
      <c r="F57" s="13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5:29" x14ac:dyDescent="0.35">
      <c r="E58" s="13"/>
      <c r="F58" s="13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5:29" x14ac:dyDescent="0.35">
      <c r="E59" s="13"/>
      <c r="F59" s="13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5:29" x14ac:dyDescent="0.35">
      <c r="E60" s="13"/>
      <c r="F60" s="13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5:29" x14ac:dyDescent="0.35">
      <c r="E61" s="13"/>
      <c r="F61" s="13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5:29" x14ac:dyDescent="0.35">
      <c r="E62" s="13"/>
      <c r="F62" s="13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5:29" x14ac:dyDescent="0.35">
      <c r="E63" s="13"/>
      <c r="F63" s="13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5:29" x14ac:dyDescent="0.35">
      <c r="E64" s="13"/>
      <c r="F64" s="13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5:29" x14ac:dyDescent="0.35">
      <c r="E65" s="13"/>
      <c r="F65" s="13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5:29" x14ac:dyDescent="0.35">
      <c r="E66" s="13"/>
      <c r="F66" s="13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5:29" x14ac:dyDescent="0.35">
      <c r="E67" s="13"/>
      <c r="F67" s="13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5:29" x14ac:dyDescent="0.35">
      <c r="E68" s="13"/>
      <c r="F68" s="13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5:29" x14ac:dyDescent="0.35">
      <c r="E69" s="13"/>
      <c r="F69" s="13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5:29" x14ac:dyDescent="0.35">
      <c r="E70" s="13"/>
      <c r="F70" s="13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5:29" x14ac:dyDescent="0.35">
      <c r="E71" s="13"/>
      <c r="F71" s="13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5:29" x14ac:dyDescent="0.35">
      <c r="E72" s="13"/>
      <c r="F72" s="13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5:29" x14ac:dyDescent="0.35">
      <c r="E73" s="13"/>
      <c r="F73" s="13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5:29" x14ac:dyDescent="0.35">
      <c r="E74" s="13"/>
      <c r="F74" s="13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5:29" x14ac:dyDescent="0.35">
      <c r="E75" s="18"/>
      <c r="F75" s="19"/>
      <c r="G75" s="19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5:29" x14ac:dyDescent="0.35">
      <c r="E76" s="18"/>
      <c r="F76" s="19"/>
      <c r="G76" s="19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5:29" x14ac:dyDescent="0.35">
      <c r="E77" s="18"/>
      <c r="F77" s="19"/>
      <c r="G77" s="19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5:29" x14ac:dyDescent="0.35">
      <c r="E78" s="18"/>
      <c r="F78" s="19"/>
      <c r="G78" s="19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5:29" x14ac:dyDescent="0.35">
      <c r="E79" s="18"/>
      <c r="F79" s="19"/>
      <c r="G79" s="19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5:29" x14ac:dyDescent="0.35">
      <c r="E80" s="18"/>
      <c r="F80" s="19"/>
      <c r="G80" s="19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5:29" x14ac:dyDescent="0.35">
      <c r="E81" s="18"/>
      <c r="F81" s="19"/>
      <c r="G81" s="19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5:29" x14ac:dyDescent="0.35">
      <c r="E82" s="18"/>
      <c r="F82" s="19"/>
      <c r="G82" s="19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5:29" x14ac:dyDescent="0.35">
      <c r="E83" s="18"/>
      <c r="F83" s="19"/>
      <c r="G83" s="19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5:29" x14ac:dyDescent="0.35">
      <c r="E84" s="18"/>
      <c r="F84" s="19"/>
      <c r="G84" s="19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5:29" x14ac:dyDescent="0.35">
      <c r="E85" s="18"/>
      <c r="F85" s="19"/>
      <c r="G85" s="1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5:29" x14ac:dyDescent="0.35">
      <c r="E86" s="18"/>
      <c r="F86" s="19"/>
      <c r="G86" s="1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5:29" x14ac:dyDescent="0.35">
      <c r="E87" s="18"/>
      <c r="F87" s="19"/>
      <c r="G87" s="1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5:29" x14ac:dyDescent="0.35">
      <c r="E88" s="18"/>
      <c r="F88" s="19"/>
      <c r="G88" s="1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5:29" x14ac:dyDescent="0.35">
      <c r="E89" s="18"/>
      <c r="F89" s="19"/>
      <c r="G89" s="1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5:29" x14ac:dyDescent="0.35">
      <c r="E90" s="18"/>
      <c r="F90" s="19"/>
      <c r="G90" s="1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5:29" x14ac:dyDescent="0.35">
      <c r="E91" s="18"/>
      <c r="F91" s="19"/>
      <c r="G91" s="1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Y91" s="12"/>
      <c r="Z91" s="12"/>
      <c r="AA91" s="12"/>
      <c r="AB91" s="12"/>
      <c r="AC91" s="12"/>
    </row>
    <row r="92" spans="5:29" x14ac:dyDescent="0.35">
      <c r="E92" s="18"/>
      <c r="F92" s="19"/>
      <c r="G92" s="1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5:29" x14ac:dyDescent="0.35">
      <c r="E93" s="18"/>
      <c r="F93" s="19"/>
      <c r="G93" s="1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5:29" x14ac:dyDescent="0.35">
      <c r="E94" s="18"/>
      <c r="F94" s="19"/>
      <c r="G94" s="1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5:29" x14ac:dyDescent="0.35">
      <c r="E95" s="18"/>
      <c r="F95" s="19"/>
      <c r="G95" s="1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5:29" x14ac:dyDescent="0.35">
      <c r="E96" s="18"/>
      <c r="F96" s="19"/>
      <c r="G96" s="1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5:29" x14ac:dyDescent="0.35">
      <c r="E97" s="18"/>
      <c r="F97" s="19"/>
      <c r="G97" s="1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5:29" x14ac:dyDescent="0.35">
      <c r="E98" s="18"/>
      <c r="F98" s="19"/>
      <c r="G98" s="1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5:29" x14ac:dyDescent="0.35">
      <c r="E99" s="18"/>
      <c r="F99" s="19"/>
      <c r="G99" s="1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5:29" x14ac:dyDescent="0.35">
      <c r="E100" s="18"/>
      <c r="F100" s="19"/>
      <c r="G100" s="1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5:29" x14ac:dyDescent="0.35">
      <c r="E101" s="18"/>
      <c r="F101" s="19"/>
      <c r="G101" s="1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5:29" x14ac:dyDescent="0.35">
      <c r="E102" s="18"/>
      <c r="F102" s="19"/>
      <c r="G102" s="1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5:29" x14ac:dyDescent="0.35">
      <c r="E103" s="18"/>
      <c r="F103" s="19"/>
      <c r="G103" s="1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5:29" x14ac:dyDescent="0.35">
      <c r="E104" s="18"/>
      <c r="F104" s="19"/>
      <c r="G104" s="1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5:29" x14ac:dyDescent="0.35">
      <c r="E105" s="18"/>
      <c r="F105" s="19"/>
      <c r="G105" s="1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5:29" x14ac:dyDescent="0.35">
      <c r="E106" s="18"/>
      <c r="F106" s="19"/>
      <c r="G106" s="1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5:29" x14ac:dyDescent="0.35">
      <c r="E107" s="18"/>
      <c r="F107" s="19"/>
      <c r="G107" s="1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5:29" x14ac:dyDescent="0.35">
      <c r="E108" s="18"/>
      <c r="F108" s="19"/>
      <c r="G108" s="1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5:29" x14ac:dyDescent="0.35">
      <c r="E109" s="18"/>
      <c r="F109" s="19"/>
      <c r="G109" s="1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5:29" x14ac:dyDescent="0.35">
      <c r="E110" s="18"/>
      <c r="F110" s="19"/>
      <c r="G110" s="1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5:29" x14ac:dyDescent="0.35">
      <c r="E111" s="18"/>
      <c r="F111" s="19"/>
      <c r="G111" s="1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5:29" x14ac:dyDescent="0.35">
      <c r="E112" s="18"/>
      <c r="F112" s="19"/>
      <c r="G112" s="1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5:29" x14ac:dyDescent="0.35">
      <c r="E113" s="18"/>
      <c r="F113" s="19"/>
      <c r="G113" s="1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5:29" x14ac:dyDescent="0.35">
      <c r="E114" s="18"/>
      <c r="F114" s="19"/>
      <c r="G114" s="1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5:29" x14ac:dyDescent="0.35">
      <c r="E115" s="18"/>
      <c r="F115" s="19"/>
      <c r="G115" s="1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5:29" x14ac:dyDescent="0.35">
      <c r="E116" s="18"/>
      <c r="F116" s="19"/>
      <c r="G116" s="1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5:29" x14ac:dyDescent="0.35">
      <c r="E117" s="18"/>
      <c r="F117" s="19"/>
      <c r="G117" s="1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5:29" x14ac:dyDescent="0.35">
      <c r="E118" s="18"/>
      <c r="F118" s="19"/>
      <c r="G118" s="1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5:29" x14ac:dyDescent="0.35">
      <c r="E119" s="18"/>
      <c r="F119" s="19"/>
      <c r="G119" s="1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5:29" x14ac:dyDescent="0.35">
      <c r="E120" s="18"/>
      <c r="F120" s="19"/>
      <c r="G120" s="1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5:29" x14ac:dyDescent="0.35">
      <c r="E121" s="18"/>
      <c r="F121" s="19"/>
      <c r="G121" s="1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5:29" x14ac:dyDescent="0.35">
      <c r="E122" s="18"/>
      <c r="F122" s="19"/>
      <c r="G122" s="19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5:29" x14ac:dyDescent="0.35">
      <c r="E123" s="18"/>
      <c r="F123" s="19"/>
      <c r="G123" s="19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5:29" x14ac:dyDescent="0.35">
      <c r="E124" s="18"/>
      <c r="F124" s="19"/>
      <c r="G124" s="19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5:29" x14ac:dyDescent="0.35">
      <c r="E125" s="12"/>
      <c r="F125" s="12"/>
      <c r="G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5:29" x14ac:dyDescent="0.35">
      <c r="E126" s="12"/>
      <c r="F126" s="12"/>
      <c r="G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5:29" x14ac:dyDescent="0.35">
      <c r="E127" s="12"/>
      <c r="F127" s="12"/>
      <c r="G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5:29" x14ac:dyDescent="0.35">
      <c r="E128" s="12"/>
      <c r="F128" s="12"/>
      <c r="G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5:29" x14ac:dyDescent="0.35">
      <c r="E129" s="12"/>
      <c r="F129" s="12"/>
      <c r="G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5:29" x14ac:dyDescent="0.35">
      <c r="E130" s="12"/>
      <c r="F130" s="12"/>
      <c r="G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5:29" x14ac:dyDescent="0.35">
      <c r="E131" s="12"/>
      <c r="F131" s="12"/>
      <c r="G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5:29" x14ac:dyDescent="0.35">
      <c r="E132" s="12"/>
      <c r="F132" s="12"/>
      <c r="G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5:29" x14ac:dyDescent="0.35">
      <c r="E133" s="12"/>
      <c r="F133" s="12"/>
      <c r="G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5:29" x14ac:dyDescent="0.35">
      <c r="E134" s="12"/>
      <c r="F134" s="12"/>
      <c r="G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5:29" x14ac:dyDescent="0.35">
      <c r="E135" s="12"/>
      <c r="F135" s="12"/>
      <c r="G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5:29" x14ac:dyDescent="0.35">
      <c r="E136" s="12"/>
      <c r="F136" s="12"/>
      <c r="G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5:29" x14ac:dyDescent="0.35">
      <c r="E137" s="12"/>
      <c r="F137" s="12"/>
      <c r="G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5:29" x14ac:dyDescent="0.35">
      <c r="E138" s="12"/>
      <c r="F138" s="12"/>
      <c r="G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5:29" x14ac:dyDescent="0.35">
      <c r="E139" s="12"/>
      <c r="F139" s="12"/>
      <c r="G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5:29" x14ac:dyDescent="0.35">
      <c r="E140" s="12"/>
      <c r="F140" s="12"/>
      <c r="G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5:29" x14ac:dyDescent="0.35">
      <c r="E141" s="12"/>
      <c r="F141" s="12"/>
      <c r="G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5:29" x14ac:dyDescent="0.35">
      <c r="E142" s="12"/>
      <c r="F142" s="12"/>
      <c r="G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5:29" x14ac:dyDescent="0.35">
      <c r="E143" s="12"/>
      <c r="F143" s="12"/>
      <c r="G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5:29" x14ac:dyDescent="0.35">
      <c r="E144" s="12"/>
      <c r="F144" s="12"/>
      <c r="G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5:29" x14ac:dyDescent="0.35">
      <c r="E145" s="12"/>
      <c r="F145" s="12"/>
      <c r="G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5:29" x14ac:dyDescent="0.35">
      <c r="E146" s="12"/>
      <c r="F146" s="12"/>
      <c r="G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5:29" x14ac:dyDescent="0.35">
      <c r="E147" s="12"/>
      <c r="F147" s="12"/>
      <c r="G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5:29" x14ac:dyDescent="0.35">
      <c r="E148" s="12"/>
      <c r="F148" s="12"/>
      <c r="G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5:29" x14ac:dyDescent="0.35">
      <c r="E149" s="12"/>
      <c r="F149" s="12"/>
      <c r="G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5:29" x14ac:dyDescent="0.35">
      <c r="E150" s="12"/>
      <c r="F150" s="12"/>
      <c r="G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5:29" x14ac:dyDescent="0.35">
      <c r="E151" s="12"/>
      <c r="F151" s="12"/>
      <c r="G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5:29" x14ac:dyDescent="0.35">
      <c r="E152" s="12"/>
      <c r="F152" s="12"/>
      <c r="G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5:29" x14ac:dyDescent="0.35">
      <c r="E153" s="12"/>
      <c r="F153" s="12"/>
      <c r="G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5:29" x14ac:dyDescent="0.35">
      <c r="E154" s="12"/>
      <c r="F154" s="12"/>
      <c r="G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5:29" x14ac:dyDescent="0.35">
      <c r="E155" s="12"/>
      <c r="F155" s="12"/>
      <c r="G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5:29" x14ac:dyDescent="0.35">
      <c r="E156" s="12"/>
      <c r="F156" s="12"/>
      <c r="G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5:29" x14ac:dyDescent="0.35">
      <c r="E157" s="12"/>
      <c r="F157" s="12"/>
      <c r="G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5:29" x14ac:dyDescent="0.35">
      <c r="E158" s="12"/>
      <c r="F158" s="12"/>
      <c r="G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5:29" x14ac:dyDescent="0.35">
      <c r="E159" s="12"/>
      <c r="F159" s="12"/>
      <c r="G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5:29" x14ac:dyDescent="0.35">
      <c r="E160" s="12"/>
      <c r="F160" s="12"/>
      <c r="G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5:29" x14ac:dyDescent="0.35">
      <c r="E161" s="12"/>
      <c r="F161" s="12"/>
      <c r="G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5:29" x14ac:dyDescent="0.35">
      <c r="E162" s="12"/>
      <c r="F162" s="12"/>
      <c r="G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5:29" x14ac:dyDescent="0.35">
      <c r="E163" s="12"/>
      <c r="F163" s="12"/>
      <c r="G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5:29" x14ac:dyDescent="0.35">
      <c r="E164" s="12"/>
      <c r="F164" s="12"/>
      <c r="G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5:29" x14ac:dyDescent="0.35">
      <c r="E165" s="12"/>
      <c r="F165" s="12"/>
      <c r="G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5:29" x14ac:dyDescent="0.35">
      <c r="E166" s="12"/>
      <c r="F166" s="12"/>
      <c r="G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5:29" x14ac:dyDescent="0.35">
      <c r="E167" s="12"/>
      <c r="F167" s="12"/>
      <c r="G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5:29" x14ac:dyDescent="0.35">
      <c r="E168" s="12"/>
      <c r="F168" s="12"/>
      <c r="G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5:29" x14ac:dyDescent="0.35">
      <c r="E169" s="12"/>
      <c r="F169" s="12"/>
      <c r="G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5:29" x14ac:dyDescent="0.35">
      <c r="E170" s="12"/>
      <c r="F170" s="12"/>
      <c r="G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5:29" x14ac:dyDescent="0.35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5:29" x14ac:dyDescent="0.35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5:29" x14ac:dyDescent="0.35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5:29" ht="28" customHeight="1" x14ac:dyDescent="0.35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5:29" x14ac:dyDescent="0.35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5:29" x14ac:dyDescent="0.35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5:29" x14ac:dyDescent="0.35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5:29" x14ac:dyDescent="0.35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5:29" x14ac:dyDescent="0.35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5:29" x14ac:dyDescent="0.35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5:29" x14ac:dyDescent="0.35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5:29" ht="32" customHeight="1" x14ac:dyDescent="0.35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5:29" x14ac:dyDescent="0.35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5:29" x14ac:dyDescent="0.35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5:29" ht="31" customHeight="1" x14ac:dyDescent="0.35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5:29" ht="23" customHeight="1" x14ac:dyDescent="0.35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5:29" ht="30" customHeight="1" x14ac:dyDescent="0.35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5:29" ht="31" customHeight="1" x14ac:dyDescent="0.35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5:29" ht="30" customHeight="1" x14ac:dyDescent="0.35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5:29" ht="29" customHeight="1" x14ac:dyDescent="0.35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5:29" ht="25" customHeight="1" x14ac:dyDescent="0.35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5:29" ht="24" customHeight="1" x14ac:dyDescent="0.35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5:29" ht="29" customHeight="1" x14ac:dyDescent="0.35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5:29" ht="26" customHeight="1" x14ac:dyDescent="0.35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5:29" x14ac:dyDescent="0.35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5:29" ht="26" customHeight="1" x14ac:dyDescent="0.35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5:29" ht="28" customHeight="1" x14ac:dyDescent="0.35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5:29" x14ac:dyDescent="0.35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5:29" x14ac:dyDescent="0.35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5:29" x14ac:dyDescent="0.35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5:29" ht="28" customHeight="1" x14ac:dyDescent="0.35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5:29" ht="28" customHeight="1" x14ac:dyDescent="0.35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5:29" ht="24" customHeight="1" x14ac:dyDescent="0.35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5:29" ht="25" customHeight="1" x14ac:dyDescent="0.35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5:29" ht="32" customHeight="1" x14ac:dyDescent="0.35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5:29" ht="25" customHeight="1" x14ac:dyDescent="0.35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5:29" x14ac:dyDescent="0.35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5:29" x14ac:dyDescent="0.35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5:29" x14ac:dyDescent="0.35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5:29" ht="39" customHeight="1" x14ac:dyDescent="0.35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5:29" x14ac:dyDescent="0.35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5:29" x14ac:dyDescent="0.35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5:29" x14ac:dyDescent="0.35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5:29" x14ac:dyDescent="0.35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5:29" x14ac:dyDescent="0.35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5:29" x14ac:dyDescent="0.35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5:29" x14ac:dyDescent="0.35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5:29" x14ac:dyDescent="0.35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5:29" x14ac:dyDescent="0.35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5:29" x14ac:dyDescent="0.35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5:29" x14ac:dyDescent="0.35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5:29" x14ac:dyDescent="0.35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5:29" x14ac:dyDescent="0.35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5:29" x14ac:dyDescent="0.35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5:29" x14ac:dyDescent="0.35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5:29" x14ac:dyDescent="0.35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5:29" x14ac:dyDescent="0.35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5:29" x14ac:dyDescent="0.35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5:29" x14ac:dyDescent="0.35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5:29" x14ac:dyDescent="0.35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5:29" x14ac:dyDescent="0.35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5:29" x14ac:dyDescent="0.35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5:29" x14ac:dyDescent="0.35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5:29" x14ac:dyDescent="0.35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5:29" x14ac:dyDescent="0.35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5:29" x14ac:dyDescent="0.35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5:29" x14ac:dyDescent="0.35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5:29" x14ac:dyDescent="0.35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5:29" x14ac:dyDescent="0.35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5:29" x14ac:dyDescent="0.35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5:29" x14ac:dyDescent="0.35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5:29" x14ac:dyDescent="0.35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5:29" x14ac:dyDescent="0.35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5:29" x14ac:dyDescent="0.35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5:29" x14ac:dyDescent="0.35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5:29" x14ac:dyDescent="0.35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5:29" x14ac:dyDescent="0.35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5:29" x14ac:dyDescent="0.35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5:29" x14ac:dyDescent="0.35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5:29" x14ac:dyDescent="0.35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5"/>
      <c r="U250" s="1"/>
      <c r="V250" s="16"/>
      <c r="W250" s="17"/>
      <c r="X250" s="17"/>
      <c r="Y250" s="12"/>
      <c r="Z250" s="12"/>
      <c r="AA250" s="12"/>
      <c r="AB250" s="12"/>
      <c r="AC250" s="12"/>
    </row>
    <row r="251" spans="5:29" x14ac:dyDescent="0.35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5"/>
      <c r="U251" s="1"/>
      <c r="V251" s="16"/>
      <c r="W251" s="17"/>
      <c r="X251" s="17"/>
      <c r="Y251" s="12"/>
      <c r="Z251" s="12"/>
      <c r="AA251" s="12"/>
      <c r="AB251" s="12"/>
      <c r="AC251" s="12"/>
    </row>
    <row r="252" spans="5:29" x14ac:dyDescent="0.35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5"/>
      <c r="U252" s="1"/>
      <c r="V252" s="16"/>
      <c r="W252" s="17"/>
      <c r="X252" s="17"/>
      <c r="Y252" s="12"/>
      <c r="Z252" s="12"/>
      <c r="AA252" s="12"/>
      <c r="AB252" s="12"/>
      <c r="AC252" s="12"/>
    </row>
    <row r="253" spans="5:29" x14ac:dyDescent="0.35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5"/>
      <c r="U253" s="1"/>
      <c r="V253" s="16"/>
      <c r="W253" s="17"/>
      <c r="X253" s="17"/>
      <c r="Y253" s="12"/>
      <c r="Z253" s="12"/>
      <c r="AA253" s="12"/>
      <c r="AB253" s="12"/>
      <c r="AC253" s="12"/>
    </row>
    <row r="254" spans="5:29" x14ac:dyDescent="0.35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5"/>
      <c r="U254" s="1"/>
      <c r="V254" s="16"/>
      <c r="W254" s="17"/>
      <c r="X254" s="17"/>
      <c r="Y254" s="12"/>
      <c r="Z254" s="12"/>
      <c r="AA254" s="12"/>
      <c r="AB254" s="12"/>
      <c r="AC254" s="12"/>
    </row>
    <row r="255" spans="5:29" x14ac:dyDescent="0.35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5"/>
      <c r="U255" s="1"/>
      <c r="V255" s="16"/>
      <c r="W255" s="17"/>
      <c r="X255" s="17"/>
      <c r="Y255" s="12"/>
      <c r="Z255" s="12"/>
      <c r="AA255" s="12"/>
      <c r="AB255" s="12"/>
      <c r="AC255" s="12"/>
    </row>
    <row r="256" spans="5:29" x14ac:dyDescent="0.35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5"/>
      <c r="U256" s="1"/>
      <c r="V256" s="16"/>
      <c r="W256" s="17"/>
      <c r="X256" s="17"/>
      <c r="Y256" s="12"/>
      <c r="Z256" s="12"/>
      <c r="AA256" s="12"/>
      <c r="AB256" s="12"/>
      <c r="AC256" s="12"/>
    </row>
    <row r="257" spans="5:29" x14ac:dyDescent="0.35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5:29" x14ac:dyDescent="0.35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5:29" x14ac:dyDescent="0.35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5:29" x14ac:dyDescent="0.35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5:29" x14ac:dyDescent="0.35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5:29" x14ac:dyDescent="0.35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5:29" x14ac:dyDescent="0.35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5:29" x14ac:dyDescent="0.35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5:29" x14ac:dyDescent="0.35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5:29" x14ac:dyDescent="0.35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5:29" x14ac:dyDescent="0.35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5:29" x14ac:dyDescent="0.35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5:29" x14ac:dyDescent="0.35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5:29" x14ac:dyDescent="0.35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5:29" x14ac:dyDescent="0.35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5:29" x14ac:dyDescent="0.35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5:29" x14ac:dyDescent="0.35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5:29" x14ac:dyDescent="0.35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5:29" x14ac:dyDescent="0.35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5:29" x14ac:dyDescent="0.35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5:29" x14ac:dyDescent="0.35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5:29" x14ac:dyDescent="0.35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5:29" x14ac:dyDescent="0.35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5:29" x14ac:dyDescent="0.35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5:29" x14ac:dyDescent="0.35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5:29" x14ac:dyDescent="0.35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5:29" x14ac:dyDescent="0.35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5:29" x14ac:dyDescent="0.3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5:29" x14ac:dyDescent="0.35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5:29" x14ac:dyDescent="0.35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5:29" x14ac:dyDescent="0.35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5:29" x14ac:dyDescent="0.35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5:29" x14ac:dyDescent="0.35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5:29" x14ac:dyDescent="0.35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5:29" x14ac:dyDescent="0.35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5:29" x14ac:dyDescent="0.35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5:29" x14ac:dyDescent="0.35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5:29" x14ac:dyDescent="0.35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5:29" x14ac:dyDescent="0.35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5:29" x14ac:dyDescent="0.35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5:29" x14ac:dyDescent="0.35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5:29" x14ac:dyDescent="0.35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5:29" x14ac:dyDescent="0.35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5:29" x14ac:dyDescent="0.35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5:29" x14ac:dyDescent="0.35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5:29" x14ac:dyDescent="0.35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5:29" x14ac:dyDescent="0.35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5:29" x14ac:dyDescent="0.35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5:29" x14ac:dyDescent="0.35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5:29" x14ac:dyDescent="0.35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5:29" x14ac:dyDescent="0.35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5:29" x14ac:dyDescent="0.35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5:29" x14ac:dyDescent="0.35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5:29" x14ac:dyDescent="0.35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5:29" x14ac:dyDescent="0.35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5:29" x14ac:dyDescent="0.35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5:29" x14ac:dyDescent="0.35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5:29" x14ac:dyDescent="0.35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5:29" x14ac:dyDescent="0.35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5:29" x14ac:dyDescent="0.35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5:29" x14ac:dyDescent="0.35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5:29" x14ac:dyDescent="0.35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5:29" x14ac:dyDescent="0.35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5:29" x14ac:dyDescent="0.35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5:29" x14ac:dyDescent="0.35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5:29" x14ac:dyDescent="0.35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5:29" x14ac:dyDescent="0.35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5:29" x14ac:dyDescent="0.35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5:29" x14ac:dyDescent="0.35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5:29" x14ac:dyDescent="0.35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5:29" x14ac:dyDescent="0.35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5:29" x14ac:dyDescent="0.35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5:29" x14ac:dyDescent="0.35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5:29" x14ac:dyDescent="0.35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5:29" x14ac:dyDescent="0.35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5:29" x14ac:dyDescent="0.35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5:29" x14ac:dyDescent="0.35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5:29" x14ac:dyDescent="0.35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5:29" x14ac:dyDescent="0.35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5:29" x14ac:dyDescent="0.35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5:29" x14ac:dyDescent="0.35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5:29" x14ac:dyDescent="0.35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5:29" x14ac:dyDescent="0.35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5:29" x14ac:dyDescent="0.35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5:29" x14ac:dyDescent="0.35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5:29" x14ac:dyDescent="0.35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5:29" x14ac:dyDescent="0.35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5:29" x14ac:dyDescent="0.35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5:29" x14ac:dyDescent="0.35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5:29" x14ac:dyDescent="0.35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5:29" x14ac:dyDescent="0.35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5:29" x14ac:dyDescent="0.35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5:29" x14ac:dyDescent="0.35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5:29" x14ac:dyDescent="0.35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5:29" x14ac:dyDescent="0.35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5:29" x14ac:dyDescent="0.35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5:29" x14ac:dyDescent="0.35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5:29" x14ac:dyDescent="0.35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5:29" x14ac:dyDescent="0.35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5:29" x14ac:dyDescent="0.35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5:29" x14ac:dyDescent="0.35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5:29" x14ac:dyDescent="0.35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5:29" x14ac:dyDescent="0.35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5:29" x14ac:dyDescent="0.35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5:29" x14ac:dyDescent="0.35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5:29" x14ac:dyDescent="0.35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5:29" x14ac:dyDescent="0.35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5:29" x14ac:dyDescent="0.35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5:29" x14ac:dyDescent="0.35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5:29" x14ac:dyDescent="0.35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5:29" x14ac:dyDescent="0.35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5:29" x14ac:dyDescent="0.35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5:29" x14ac:dyDescent="0.35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5:29" x14ac:dyDescent="0.35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5:29" x14ac:dyDescent="0.35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5:29" x14ac:dyDescent="0.35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5:29" x14ac:dyDescent="0.35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5:29" x14ac:dyDescent="0.35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5:29" x14ac:dyDescent="0.35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5:29" x14ac:dyDescent="0.35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5:29" x14ac:dyDescent="0.35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5:29" x14ac:dyDescent="0.35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5:29" x14ac:dyDescent="0.35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5:29" x14ac:dyDescent="0.35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5:29" x14ac:dyDescent="0.35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5:29" x14ac:dyDescent="0.35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5:29" x14ac:dyDescent="0.35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5:29" x14ac:dyDescent="0.35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5:29" x14ac:dyDescent="0.35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5:29" x14ac:dyDescent="0.35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5:29" x14ac:dyDescent="0.35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5:29" x14ac:dyDescent="0.35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5:29" x14ac:dyDescent="0.35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5:29" x14ac:dyDescent="0.35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5:29" x14ac:dyDescent="0.35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5:29" x14ac:dyDescent="0.35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5:29" x14ac:dyDescent="0.35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5:29" x14ac:dyDescent="0.35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5:29" x14ac:dyDescent="0.35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5:29" x14ac:dyDescent="0.35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5:29" x14ac:dyDescent="0.35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5:29" x14ac:dyDescent="0.35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5:29" x14ac:dyDescent="0.35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5:29" x14ac:dyDescent="0.35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5:29" x14ac:dyDescent="0.35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5:29" x14ac:dyDescent="0.35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5:29" x14ac:dyDescent="0.35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5:29" x14ac:dyDescent="0.35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5:29" x14ac:dyDescent="0.35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5:29" x14ac:dyDescent="0.35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5:29" x14ac:dyDescent="0.35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5:29" x14ac:dyDescent="0.35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5:29" x14ac:dyDescent="0.35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5:29" x14ac:dyDescent="0.35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5:29" x14ac:dyDescent="0.35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5:29" x14ac:dyDescent="0.35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5:29" x14ac:dyDescent="0.35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5:29" x14ac:dyDescent="0.35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5:29" x14ac:dyDescent="0.35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5:29" x14ac:dyDescent="0.35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5:29" x14ac:dyDescent="0.35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5:29" x14ac:dyDescent="0.35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5:29" ht="10.5" customHeight="1" x14ac:dyDescent="0.35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5:29" ht="10.5" customHeight="1" x14ac:dyDescent="0.35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5:29" ht="10.5" customHeight="1" x14ac:dyDescent="0.35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5:29" ht="10.5" customHeight="1" x14ac:dyDescent="0.35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5:29" ht="10.5" customHeight="1" x14ac:dyDescent="0.35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5:29" x14ac:dyDescent="0.35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5:29" x14ac:dyDescent="0.35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5:29" x14ac:dyDescent="0.35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5:29" x14ac:dyDescent="0.35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5:29" ht="10.5" customHeight="1" x14ac:dyDescent="0.35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5:29" ht="10.5" customHeight="1" x14ac:dyDescent="0.35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5:29" ht="10.5" customHeight="1" x14ac:dyDescent="0.35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5:29" ht="10.5" customHeight="1" x14ac:dyDescent="0.35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5:29" ht="10.5" customHeight="1" x14ac:dyDescent="0.35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5:29" ht="10.5" customHeight="1" x14ac:dyDescent="0.35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5:29" ht="10.5" customHeight="1" x14ac:dyDescent="0.35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5:29" ht="10.5" customHeight="1" x14ac:dyDescent="0.35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5:29" ht="10.5" customHeight="1" x14ac:dyDescent="0.35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5:29" x14ac:dyDescent="0.35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5:29" ht="10.5" customHeight="1" x14ac:dyDescent="0.35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5:29" ht="10.5" customHeight="1" x14ac:dyDescent="0.35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5:29" x14ac:dyDescent="0.35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5:29" x14ac:dyDescent="0.35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5:29" x14ac:dyDescent="0.35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5:29" x14ac:dyDescent="0.35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5:29" x14ac:dyDescent="0.35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5:29" x14ac:dyDescent="0.35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5:29" x14ac:dyDescent="0.35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5:29" x14ac:dyDescent="0.35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5:29" x14ac:dyDescent="0.35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5:29" x14ac:dyDescent="0.35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5:29" ht="10.5" customHeight="1" x14ac:dyDescent="0.35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5:29" ht="10.5" customHeight="1" x14ac:dyDescent="0.35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5:29" ht="10.5" customHeight="1" x14ac:dyDescent="0.35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5:29" ht="10.5" customHeight="1" x14ac:dyDescent="0.35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5:29" ht="10.5" customHeight="1" x14ac:dyDescent="0.35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5:29" ht="10.5" customHeight="1" x14ac:dyDescent="0.35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5:29" ht="10.5" customHeight="1" x14ac:dyDescent="0.35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5:29" ht="10.5" customHeight="1" x14ac:dyDescent="0.35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5:29" ht="10.5" customHeight="1" x14ac:dyDescent="0.35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5:29" ht="10.5" customHeight="1" x14ac:dyDescent="0.35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5:29" ht="10.5" customHeight="1" x14ac:dyDescent="0.35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5:29" ht="10.5" customHeight="1" x14ac:dyDescent="0.35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5:29" ht="10.5" customHeight="1" x14ac:dyDescent="0.35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5:29" ht="10.5" customHeight="1" x14ac:dyDescent="0.35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5:29" ht="10.5" customHeight="1" x14ac:dyDescent="0.35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5:29" ht="10.5" customHeight="1" x14ac:dyDescent="0.35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5:29" ht="10.5" customHeight="1" x14ac:dyDescent="0.35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5:29" ht="10.5" customHeight="1" x14ac:dyDescent="0.35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5:29" ht="10.5" customHeight="1" x14ac:dyDescent="0.35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5:29" ht="10.5" customHeight="1" x14ac:dyDescent="0.35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5:29" ht="10.5" customHeight="1" x14ac:dyDescent="0.35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5:29" ht="10.5" customHeight="1" x14ac:dyDescent="0.35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5:29" ht="10.5" customHeight="1" x14ac:dyDescent="0.35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5:29" ht="10.5" customHeight="1" x14ac:dyDescent="0.35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5:29" ht="10.5" customHeight="1" x14ac:dyDescent="0.35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5:29" ht="10.5" customHeight="1" x14ac:dyDescent="0.35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5:29" ht="10.5" customHeight="1" x14ac:dyDescent="0.35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5:29" ht="10.5" customHeight="1" x14ac:dyDescent="0.35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5:29" ht="10.5" customHeight="1" x14ac:dyDescent="0.35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5:29" ht="10.5" customHeight="1" x14ac:dyDescent="0.35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5:29" ht="10.5" customHeight="1" x14ac:dyDescent="0.35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5:29" ht="10.5" customHeight="1" x14ac:dyDescent="0.35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5:29" ht="10.5" customHeight="1" x14ac:dyDescent="0.35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5:29" ht="10.5" customHeight="1" x14ac:dyDescent="0.35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5:29" ht="10.5" customHeight="1" x14ac:dyDescent="0.35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5:29" ht="10.5" customHeight="1" x14ac:dyDescent="0.35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5:29" ht="10.5" customHeight="1" x14ac:dyDescent="0.35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5:29" ht="10.5" customHeight="1" x14ac:dyDescent="0.35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5:29" ht="10.5" customHeight="1" x14ac:dyDescent="0.35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5:29" ht="10.5" customHeight="1" x14ac:dyDescent="0.35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5:29" ht="10.5" customHeight="1" x14ac:dyDescent="0.35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5:29" ht="10.5" customHeight="1" x14ac:dyDescent="0.35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5:29" ht="10.5" customHeight="1" x14ac:dyDescent="0.35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5:29" ht="10.5" customHeight="1" x14ac:dyDescent="0.35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5:29" ht="10.5" customHeight="1" x14ac:dyDescent="0.35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5:29" ht="10.5" customHeight="1" x14ac:dyDescent="0.35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5:29" ht="10.5" customHeight="1" x14ac:dyDescent="0.35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5:29" ht="10.5" customHeight="1" x14ac:dyDescent="0.35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5:29" ht="10.5" customHeight="1" x14ac:dyDescent="0.35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5:29" ht="10.5" customHeight="1" x14ac:dyDescent="0.35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5:29" ht="10.5" customHeight="1" x14ac:dyDescent="0.35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5:29" ht="10.5" customHeight="1" x14ac:dyDescent="0.35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5:29" ht="10.5" customHeight="1" x14ac:dyDescent="0.35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5:29" ht="10.5" customHeight="1" x14ac:dyDescent="0.35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5:29" ht="10.5" customHeight="1" x14ac:dyDescent="0.35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5:29" ht="10.5" customHeight="1" x14ac:dyDescent="0.35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5:29" ht="10.5" customHeight="1" x14ac:dyDescent="0.35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5:29" ht="10.5" customHeight="1" x14ac:dyDescent="0.35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5:29" ht="10.5" customHeight="1" x14ac:dyDescent="0.35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5:29" ht="10.5" customHeight="1" x14ac:dyDescent="0.35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5:29" ht="10.5" customHeight="1" x14ac:dyDescent="0.35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5:29" ht="10.5" customHeight="1" x14ac:dyDescent="0.35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5:29" ht="10.5" customHeight="1" x14ac:dyDescent="0.35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5:29" ht="10.5" customHeight="1" x14ac:dyDescent="0.35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5:29" ht="10.5" customHeight="1" x14ac:dyDescent="0.35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5:29" ht="10.5" customHeight="1" x14ac:dyDescent="0.35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5:29" ht="10.5" customHeight="1" x14ac:dyDescent="0.35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5:29" ht="10.5" customHeight="1" x14ac:dyDescent="0.35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5:29" ht="10.5" customHeight="1" x14ac:dyDescent="0.35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5:29" ht="10.5" customHeight="1" x14ac:dyDescent="0.35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5:29" ht="10.5" customHeight="1" x14ac:dyDescent="0.35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5:29" ht="10.5" customHeight="1" x14ac:dyDescent="0.35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5:29" ht="10.5" customHeight="1" x14ac:dyDescent="0.35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5:29" ht="10.5" customHeight="1" x14ac:dyDescent="0.35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5:29" ht="10.5" customHeight="1" x14ac:dyDescent="0.35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5:29" ht="10.5" customHeight="1" x14ac:dyDescent="0.35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5:29" ht="10.5" customHeight="1" x14ac:dyDescent="0.35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5:29" ht="10.5" customHeight="1" x14ac:dyDescent="0.35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5:29" ht="10.5" customHeight="1" x14ac:dyDescent="0.35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5:29" ht="10.5" customHeight="1" x14ac:dyDescent="0.35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5:29" ht="10.5" customHeight="1" x14ac:dyDescent="0.35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5:29" ht="10.5" customHeight="1" x14ac:dyDescent="0.35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5:29" ht="10.5" customHeight="1" x14ac:dyDescent="0.35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5:29" ht="10.5" customHeight="1" x14ac:dyDescent="0.35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5:29" ht="10.5" customHeight="1" x14ac:dyDescent="0.35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5:29" ht="10.5" customHeight="1" x14ac:dyDescent="0.35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5:29" ht="10.5" customHeight="1" x14ac:dyDescent="0.35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5:29" ht="10.5" customHeight="1" x14ac:dyDescent="0.35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5:29" ht="10.5" customHeight="1" x14ac:dyDescent="0.35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5:29" ht="10.5" customHeight="1" x14ac:dyDescent="0.35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5:29" ht="10.5" customHeight="1" x14ac:dyDescent="0.35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5:29" ht="10.5" customHeight="1" x14ac:dyDescent="0.35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5:29" ht="10.5" customHeight="1" x14ac:dyDescent="0.35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5:29" ht="10.5" customHeight="1" x14ac:dyDescent="0.35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5:29" ht="10.5" customHeight="1" x14ac:dyDescent="0.35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5:29" ht="10.5" customHeight="1" x14ac:dyDescent="0.35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5:29" ht="10.5" customHeight="1" x14ac:dyDescent="0.35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5:29" ht="10.5" customHeight="1" x14ac:dyDescent="0.35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5:29" ht="10.5" customHeight="1" x14ac:dyDescent="0.35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5:29" ht="10.5" customHeight="1" x14ac:dyDescent="0.35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5:29" ht="10.5" customHeight="1" x14ac:dyDescent="0.35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5:29" ht="10.5" customHeight="1" x14ac:dyDescent="0.35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5:29" ht="10.5" customHeight="1" x14ac:dyDescent="0.35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5:29" ht="10.5" customHeight="1" x14ac:dyDescent="0.35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5:29" ht="10.5" customHeight="1" x14ac:dyDescent="0.35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5:29" ht="10.5" customHeight="1" x14ac:dyDescent="0.35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5:29" ht="10.5" customHeight="1" x14ac:dyDescent="0.35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5:29" ht="10.5" customHeight="1" x14ac:dyDescent="0.35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5:29" ht="10.5" customHeight="1" x14ac:dyDescent="0.35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5:29" ht="10.5" customHeight="1" x14ac:dyDescent="0.35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5:29" ht="10.5" customHeight="1" x14ac:dyDescent="0.35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5:29" ht="10.5" customHeight="1" x14ac:dyDescent="0.35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5:29" ht="10.5" customHeight="1" x14ac:dyDescent="0.35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5:29" ht="10.5" customHeight="1" x14ac:dyDescent="0.35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5:29" ht="10.5" customHeight="1" x14ac:dyDescent="0.35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5:29" ht="10.5" customHeight="1" x14ac:dyDescent="0.35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5:29" ht="10.5" customHeight="1" x14ac:dyDescent="0.35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5:29" ht="10.5" customHeight="1" x14ac:dyDescent="0.35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5:29" ht="10.5" customHeight="1" x14ac:dyDescent="0.35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5:29" ht="10.5" customHeight="1" x14ac:dyDescent="0.35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5:29" ht="10.5" customHeight="1" x14ac:dyDescent="0.35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5:29" ht="10.5" customHeight="1" x14ac:dyDescent="0.35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5:29" ht="10.5" customHeight="1" x14ac:dyDescent="0.35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5:29" ht="10.5" customHeight="1" x14ac:dyDescent="0.35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5:29" ht="10.5" customHeight="1" x14ac:dyDescent="0.35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5:29" ht="10.5" customHeight="1" x14ac:dyDescent="0.35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5:29" ht="10.5" customHeight="1" x14ac:dyDescent="0.35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5:29" ht="10.5" customHeight="1" x14ac:dyDescent="0.35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5:29" ht="10.5" customHeight="1" x14ac:dyDescent="0.35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5:29" ht="10.5" customHeight="1" x14ac:dyDescent="0.35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5:29" ht="10.5" customHeight="1" x14ac:dyDescent="0.35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5:29" ht="10.5" customHeight="1" x14ac:dyDescent="0.35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5:29" ht="10.5" customHeight="1" x14ac:dyDescent="0.35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5:29" ht="10.5" customHeight="1" x14ac:dyDescent="0.35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5:29" ht="10.5" customHeight="1" x14ac:dyDescent="0.35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5:29" ht="10.5" customHeight="1" x14ac:dyDescent="0.35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5:29" ht="10.5" customHeight="1" x14ac:dyDescent="0.35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5:29" ht="10.5" customHeight="1" x14ac:dyDescent="0.35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5:29" ht="10.5" customHeight="1" x14ac:dyDescent="0.35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5:29" ht="10.5" customHeight="1" x14ac:dyDescent="0.35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5:29" ht="10.5" customHeight="1" x14ac:dyDescent="0.35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5:29" ht="10.5" customHeight="1" x14ac:dyDescent="0.35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5:29" ht="10.5" customHeight="1" x14ac:dyDescent="0.35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5:29" ht="10.5" customHeight="1" x14ac:dyDescent="0.35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5:29" ht="10.5" customHeight="1" x14ac:dyDescent="0.35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5:29" ht="10.5" customHeight="1" x14ac:dyDescent="0.35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5:29" ht="10.5" customHeight="1" x14ac:dyDescent="0.35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5:29" ht="10.5" customHeight="1" x14ac:dyDescent="0.35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5:29" ht="10.5" customHeight="1" x14ac:dyDescent="0.35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5:29" ht="10.5" customHeight="1" x14ac:dyDescent="0.35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5:29" ht="10.5" customHeight="1" x14ac:dyDescent="0.35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5:29" ht="10.5" customHeight="1" x14ac:dyDescent="0.35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5:29" ht="10.5" customHeight="1" x14ac:dyDescent="0.35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5:29" ht="10.5" customHeight="1" x14ac:dyDescent="0.35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5:29" ht="10.5" customHeight="1" x14ac:dyDescent="0.35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5:29" ht="10.5" customHeight="1" x14ac:dyDescent="0.35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5:29" ht="10.5" customHeight="1" x14ac:dyDescent="0.35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5:29" ht="10.5" customHeight="1" x14ac:dyDescent="0.35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5:29" ht="10.5" customHeight="1" x14ac:dyDescent="0.35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5:29" ht="10.5" customHeight="1" x14ac:dyDescent="0.35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5:29" ht="10.5" customHeight="1" x14ac:dyDescent="0.35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5:29" ht="10.5" customHeight="1" x14ac:dyDescent="0.35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5:29" ht="10.5" customHeight="1" x14ac:dyDescent="0.35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5:29" ht="10.5" customHeight="1" x14ac:dyDescent="0.35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5:29" ht="10.5" customHeight="1" x14ac:dyDescent="0.35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5:29" ht="10.5" customHeight="1" x14ac:dyDescent="0.35"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5:29" ht="10.5" customHeight="1" x14ac:dyDescent="0.35"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5:29" ht="10.5" customHeight="1" x14ac:dyDescent="0.35"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5:29" ht="10.5" customHeight="1" x14ac:dyDescent="0.35"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5:29" ht="10.5" customHeight="1" x14ac:dyDescent="0.35"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5:29" ht="10.5" customHeight="1" x14ac:dyDescent="0.35"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5:29" ht="10.5" customHeight="1" x14ac:dyDescent="0.35"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5:29" ht="10.5" customHeight="1" x14ac:dyDescent="0.35"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5:29" ht="10.5" customHeight="1" x14ac:dyDescent="0.35"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5:29" ht="10.5" customHeight="1" x14ac:dyDescent="0.35"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20:29" ht="10.5" customHeight="1" x14ac:dyDescent="0.35"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20:29" ht="10.5" customHeight="1" x14ac:dyDescent="0.35"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20:29" ht="10.5" customHeight="1" x14ac:dyDescent="0.35"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20:29" ht="10.5" customHeight="1" x14ac:dyDescent="0.35"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20:29" ht="10.5" customHeight="1" x14ac:dyDescent="0.35"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20:29" ht="10.5" customHeight="1" x14ac:dyDescent="0.35"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20:29" ht="10.5" customHeight="1" x14ac:dyDescent="0.35"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20:29" ht="10.5" customHeight="1" x14ac:dyDescent="0.35"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20:29" ht="10.5" customHeight="1" x14ac:dyDescent="0.35"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20:29" ht="10.5" customHeight="1" x14ac:dyDescent="0.35"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20:29" ht="10.5" customHeight="1" x14ac:dyDescent="0.35"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20:29" ht="10.5" customHeight="1" x14ac:dyDescent="0.35"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20:29" ht="10.5" customHeight="1" x14ac:dyDescent="0.35"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20:29" ht="10.5" customHeight="1" x14ac:dyDescent="0.35"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20:29" ht="10.5" customHeight="1" x14ac:dyDescent="0.35"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20:29" ht="10.5" customHeight="1" x14ac:dyDescent="0.35"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20:29" ht="10.5" customHeight="1" x14ac:dyDescent="0.35"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20:29" ht="10.5" customHeight="1" x14ac:dyDescent="0.35"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20:29" ht="10.5" customHeight="1" x14ac:dyDescent="0.35"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20:29" ht="10.5" customHeight="1" x14ac:dyDescent="0.35"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20:29" ht="10.5" customHeight="1" x14ac:dyDescent="0.35"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20:29" ht="10.5" customHeight="1" x14ac:dyDescent="0.35"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20:29" ht="10.5" customHeight="1" x14ac:dyDescent="0.35"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20:29" ht="10.5" customHeight="1" x14ac:dyDescent="0.35"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20:29" ht="10.5" customHeight="1" x14ac:dyDescent="0.35"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20:29" ht="10.5" customHeight="1" x14ac:dyDescent="0.35"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20:29" ht="10.5" customHeight="1" x14ac:dyDescent="0.35"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20:29" ht="10.5" customHeight="1" x14ac:dyDescent="0.35"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20:29" ht="10.5" customHeight="1" x14ac:dyDescent="0.35"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20:29" ht="10.5" customHeight="1" x14ac:dyDescent="0.35"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20:29" ht="10.5" customHeight="1" x14ac:dyDescent="0.35"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20:29" ht="10.5" customHeight="1" x14ac:dyDescent="0.35"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20:29" ht="10.5" customHeight="1" x14ac:dyDescent="0.35"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20:29" ht="10.5" customHeight="1" x14ac:dyDescent="0.35"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20:29" ht="10.5" customHeight="1" x14ac:dyDescent="0.35"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20:29" ht="10.5" customHeight="1" x14ac:dyDescent="0.35"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20:29" ht="10.5" customHeight="1" x14ac:dyDescent="0.35"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20:29" ht="10.5" customHeight="1" x14ac:dyDescent="0.35"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20:29" ht="10.5" customHeight="1" x14ac:dyDescent="0.35"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20:29" ht="10.5" customHeight="1" x14ac:dyDescent="0.35"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20:29" ht="10.5" customHeight="1" x14ac:dyDescent="0.35"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20:29" ht="10.5" customHeight="1" x14ac:dyDescent="0.35"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20:29" ht="10.5" customHeight="1" x14ac:dyDescent="0.35"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20:29" ht="10.5" customHeight="1" x14ac:dyDescent="0.35"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20:29" ht="10.5" customHeight="1" x14ac:dyDescent="0.35"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20:29" ht="10.5" customHeight="1" x14ac:dyDescent="0.35"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20:29" ht="10.5" customHeight="1" x14ac:dyDescent="0.35"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20:29" ht="10.5" customHeight="1" x14ac:dyDescent="0.35"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20:29" ht="10.5" customHeight="1" x14ac:dyDescent="0.35"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20:29" ht="10.5" customHeight="1" x14ac:dyDescent="0.35"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20:29" ht="10.5" customHeight="1" x14ac:dyDescent="0.35"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20:29" ht="10.5" customHeight="1" x14ac:dyDescent="0.35"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20:29" ht="10.5" customHeight="1" x14ac:dyDescent="0.35"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20:29" ht="10.5" customHeight="1" x14ac:dyDescent="0.35"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20:29" ht="10.5" customHeight="1" x14ac:dyDescent="0.35"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20:29" ht="10.5" customHeight="1" x14ac:dyDescent="0.35"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20:29" ht="10.5" customHeight="1" x14ac:dyDescent="0.35"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20:29" ht="10.5" customHeight="1" x14ac:dyDescent="0.35"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20:29" ht="10.5" customHeight="1" x14ac:dyDescent="0.35"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20:29" ht="10.5" customHeight="1" x14ac:dyDescent="0.35"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20:29" ht="10.5" customHeight="1" x14ac:dyDescent="0.35"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20:29" ht="10.5" customHeight="1" x14ac:dyDescent="0.35"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20:29" ht="10.5" customHeight="1" x14ac:dyDescent="0.35"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20:29" ht="10.5" customHeight="1" x14ac:dyDescent="0.35"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20:29" ht="10.5" customHeight="1" x14ac:dyDescent="0.35"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20:29" ht="10.5" customHeight="1" x14ac:dyDescent="0.35"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20:29" ht="10.5" customHeight="1" x14ac:dyDescent="0.35"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20:29" ht="10.5" customHeight="1" x14ac:dyDescent="0.35"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20:29" ht="10.5" customHeight="1" x14ac:dyDescent="0.35"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20:29" ht="10.5" customHeight="1" x14ac:dyDescent="0.35"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20:29" ht="10.5" customHeight="1" x14ac:dyDescent="0.35"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20:29" ht="10.5" customHeight="1" x14ac:dyDescent="0.35"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20:29" ht="10.5" customHeight="1" x14ac:dyDescent="0.35"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20:29" ht="10.5" customHeight="1" x14ac:dyDescent="0.35"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20:29" ht="10.5" customHeight="1" x14ac:dyDescent="0.35"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20:29" ht="10.5" customHeight="1" x14ac:dyDescent="0.35"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20:29" ht="10.5" customHeight="1" x14ac:dyDescent="0.35"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20:29" ht="10.5" customHeight="1" x14ac:dyDescent="0.35"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20:29" ht="10.5" customHeight="1" x14ac:dyDescent="0.35"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20:29" ht="10.5" customHeight="1" x14ac:dyDescent="0.35"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20:29" ht="10.5" customHeight="1" x14ac:dyDescent="0.35"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20:29" ht="10.5" customHeight="1" x14ac:dyDescent="0.35"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20:29" ht="10.5" customHeight="1" x14ac:dyDescent="0.35"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20:29" ht="10.5" customHeight="1" x14ac:dyDescent="0.35"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20:29" ht="10.5" customHeight="1" x14ac:dyDescent="0.35"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20:29" ht="10.5" customHeight="1" x14ac:dyDescent="0.35"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20:29" ht="10.5" customHeight="1" x14ac:dyDescent="0.35"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20:29" ht="10.5" customHeight="1" x14ac:dyDescent="0.35"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20:29" ht="10.5" customHeight="1" x14ac:dyDescent="0.35"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20:29" ht="10.5" customHeight="1" x14ac:dyDescent="0.35"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20:29" ht="10.5" customHeight="1" x14ac:dyDescent="0.35"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20:29" ht="10.5" customHeight="1" x14ac:dyDescent="0.35"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20:29" ht="10.5" customHeight="1" x14ac:dyDescent="0.35"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20:29" ht="10.5" customHeight="1" x14ac:dyDescent="0.35"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20:29" ht="10.5" customHeight="1" x14ac:dyDescent="0.35"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20:29" ht="10.5" customHeight="1" x14ac:dyDescent="0.35"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20:29" ht="10.5" customHeight="1" x14ac:dyDescent="0.35"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20:29" ht="10.5" customHeight="1" x14ac:dyDescent="0.35"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20:29" ht="10.5" customHeight="1" x14ac:dyDescent="0.35"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20:29" ht="10.5" customHeight="1" x14ac:dyDescent="0.35"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20:29" ht="10.5" customHeight="1" x14ac:dyDescent="0.35"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20:29" ht="10.5" customHeight="1" x14ac:dyDescent="0.35"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20:29" ht="10.5" customHeight="1" x14ac:dyDescent="0.35"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20:29" ht="10.5" customHeight="1" x14ac:dyDescent="0.35"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20:29" ht="10.5" customHeight="1" x14ac:dyDescent="0.35"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20:29" ht="10.5" customHeight="1" x14ac:dyDescent="0.35"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20:29" ht="10.5" customHeight="1" x14ac:dyDescent="0.35"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20:29" ht="10.5" customHeight="1" x14ac:dyDescent="0.35"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20:29" ht="10.5" customHeight="1" x14ac:dyDescent="0.35"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20:29" ht="10.5" customHeight="1" x14ac:dyDescent="0.35"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20:29" ht="10.5" customHeight="1" x14ac:dyDescent="0.35"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20:29" ht="10.5" customHeight="1" x14ac:dyDescent="0.35"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20:29" ht="10.5" customHeight="1" x14ac:dyDescent="0.35"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20:29" ht="10.5" customHeight="1" x14ac:dyDescent="0.35"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20:29" ht="10.5" customHeight="1" x14ac:dyDescent="0.35"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20:29" ht="10.5" customHeight="1" x14ac:dyDescent="0.35"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20:29" ht="10.5" customHeight="1" x14ac:dyDescent="0.35"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20:29" ht="10.5" customHeight="1" x14ac:dyDescent="0.35"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20:29" ht="10.5" customHeight="1" x14ac:dyDescent="0.35"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20:29" ht="10.5" customHeight="1" x14ac:dyDescent="0.35"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20:29" ht="10.5" customHeight="1" x14ac:dyDescent="0.35"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20:29" ht="10.5" customHeight="1" x14ac:dyDescent="0.35"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20:29" ht="10.5" customHeight="1" x14ac:dyDescent="0.35"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20:29" ht="10.5" customHeight="1" x14ac:dyDescent="0.35"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20:29" ht="10.5" customHeight="1" x14ac:dyDescent="0.35"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20:29" ht="10.5" customHeight="1" x14ac:dyDescent="0.35"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20:29" ht="10.5" customHeight="1" x14ac:dyDescent="0.35"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20:29" ht="10.5" customHeight="1" x14ac:dyDescent="0.35"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20:29" ht="10.5" customHeight="1" x14ac:dyDescent="0.35"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20:29" ht="10.5" customHeight="1" x14ac:dyDescent="0.35"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20:29" ht="10.5" customHeight="1" x14ac:dyDescent="0.35"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20:29" ht="10.5" customHeight="1" x14ac:dyDescent="0.35"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20:29" ht="10.5" customHeight="1" x14ac:dyDescent="0.35"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20:29" ht="10.5" customHeight="1" x14ac:dyDescent="0.35"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20:29" ht="10.5" customHeight="1" x14ac:dyDescent="0.35"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20:29" ht="10.5" customHeight="1" x14ac:dyDescent="0.35"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20:29" ht="10.5" customHeight="1" x14ac:dyDescent="0.35"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20:29" ht="10.5" customHeight="1" x14ac:dyDescent="0.35"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20:29" ht="10.5" customHeight="1" x14ac:dyDescent="0.35"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20:29" ht="10.5" customHeight="1" x14ac:dyDescent="0.35"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20:29" ht="10.5" customHeight="1" x14ac:dyDescent="0.35"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20:29" ht="10.5" customHeight="1" x14ac:dyDescent="0.35"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20:29" ht="10.5" customHeight="1" x14ac:dyDescent="0.35"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20:29" ht="10.5" customHeight="1" x14ac:dyDescent="0.35"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20:29" ht="10.5" customHeight="1" x14ac:dyDescent="0.35"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20:29" ht="10.5" customHeight="1" x14ac:dyDescent="0.35"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20:29" ht="10.5" customHeight="1" x14ac:dyDescent="0.35"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20:29" ht="10.5" customHeight="1" x14ac:dyDescent="0.35"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20:29" ht="10.5" customHeight="1" x14ac:dyDescent="0.35"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20:29" ht="10.5" customHeight="1" x14ac:dyDescent="0.35"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20:29" ht="10.5" customHeight="1" x14ac:dyDescent="0.35"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20:29" ht="10.5" customHeight="1" x14ac:dyDescent="0.35"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20:29" ht="10.5" customHeight="1" x14ac:dyDescent="0.35"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20:29" ht="10.5" customHeight="1" x14ac:dyDescent="0.35"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20:29" ht="10.5" customHeight="1" x14ac:dyDescent="0.35"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20:29" ht="10.5" customHeight="1" x14ac:dyDescent="0.35"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20:29" ht="10.5" customHeight="1" x14ac:dyDescent="0.35"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20:29" ht="10.5" customHeight="1" x14ac:dyDescent="0.35"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20:29" ht="10.5" customHeight="1" x14ac:dyDescent="0.35"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20:29" ht="10.5" customHeight="1" x14ac:dyDescent="0.35"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20:29" ht="10.5" customHeight="1" x14ac:dyDescent="0.35"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20:29" ht="10.5" customHeight="1" x14ac:dyDescent="0.35"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20:29" ht="10.5" customHeight="1" x14ac:dyDescent="0.35"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20:29" ht="10.5" customHeight="1" x14ac:dyDescent="0.35"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20:29" ht="10.5" customHeight="1" x14ac:dyDescent="0.35"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20:29" ht="10.5" customHeight="1" x14ac:dyDescent="0.35"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20:29" ht="10.5" customHeight="1" x14ac:dyDescent="0.35"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20:29" ht="10.5" customHeight="1" x14ac:dyDescent="0.35"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20:29" ht="10.5" customHeight="1" x14ac:dyDescent="0.35"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20:29" ht="10.5" customHeight="1" x14ac:dyDescent="0.35"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20:29" ht="10.5" customHeight="1" x14ac:dyDescent="0.35"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20:29" ht="10.5" customHeight="1" x14ac:dyDescent="0.35"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20:29" ht="10.5" customHeight="1" x14ac:dyDescent="0.35"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20:29" ht="10.5" customHeight="1" x14ac:dyDescent="0.35"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20:29" ht="10.5" customHeight="1" x14ac:dyDescent="0.35"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20:29" ht="10.5" customHeight="1" x14ac:dyDescent="0.35"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20:29" ht="10.5" customHeight="1" x14ac:dyDescent="0.35"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20:29" ht="10.5" customHeight="1" x14ac:dyDescent="0.35"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20:29" ht="10.5" customHeight="1" x14ac:dyDescent="0.35"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20:29" ht="10.5" customHeight="1" x14ac:dyDescent="0.35"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20:29" ht="10.5" customHeight="1" x14ac:dyDescent="0.35"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20:29" ht="10.5" customHeight="1" x14ac:dyDescent="0.35"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20:29" ht="10.5" customHeight="1" x14ac:dyDescent="0.35"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20:29" ht="10.5" customHeight="1" x14ac:dyDescent="0.35"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20:29" ht="10.5" customHeight="1" x14ac:dyDescent="0.35"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20:29" ht="10.5" customHeight="1" x14ac:dyDescent="0.35"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20:29" ht="10.5" customHeight="1" x14ac:dyDescent="0.35"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20:29" ht="10.5" customHeight="1" x14ac:dyDescent="0.35"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20:29" ht="10.5" customHeight="1" x14ac:dyDescent="0.35"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20:29" ht="10.5" customHeight="1" x14ac:dyDescent="0.35"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20:29" ht="10.5" customHeight="1" x14ac:dyDescent="0.35"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20:29" ht="10.5" customHeight="1" x14ac:dyDescent="0.35"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20:29" ht="10.5" customHeight="1" x14ac:dyDescent="0.35"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20:29" ht="10.5" customHeight="1" x14ac:dyDescent="0.35"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20:29" ht="10.5" customHeight="1" x14ac:dyDescent="0.35"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20:29" ht="10.5" customHeight="1" x14ac:dyDescent="0.35"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20:29" ht="10.5" customHeight="1" x14ac:dyDescent="0.35"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20:29" ht="10.5" customHeight="1" x14ac:dyDescent="0.35"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20:29" ht="10.5" customHeight="1" x14ac:dyDescent="0.35"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20:29" ht="10.5" customHeight="1" x14ac:dyDescent="0.35"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20:29" ht="10.5" customHeight="1" x14ac:dyDescent="0.35"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20:29" ht="10.5" customHeight="1" x14ac:dyDescent="0.35"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20:29" ht="10.5" customHeight="1" x14ac:dyDescent="0.35"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20:29" ht="10.5" customHeight="1" x14ac:dyDescent="0.35"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20:29" ht="10.5" customHeight="1" x14ac:dyDescent="0.35"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20:29" ht="10.5" customHeight="1" x14ac:dyDescent="0.35"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20:29" ht="10.5" customHeight="1" x14ac:dyDescent="0.35"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20:29" ht="10.5" customHeight="1" x14ac:dyDescent="0.35"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20:29" ht="10.5" customHeight="1" x14ac:dyDescent="0.35"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20:29" ht="10.5" customHeight="1" x14ac:dyDescent="0.35"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20:29" ht="10.5" customHeight="1" x14ac:dyDescent="0.35"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20:29" ht="10.5" customHeight="1" x14ac:dyDescent="0.35"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20:29" ht="10.5" customHeight="1" x14ac:dyDescent="0.35"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20:29" ht="10.5" customHeight="1" x14ac:dyDescent="0.35"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20:29" ht="10.5" customHeight="1" x14ac:dyDescent="0.35"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20:29" ht="10.5" customHeight="1" x14ac:dyDescent="0.35"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20:29" ht="10.5" customHeight="1" x14ac:dyDescent="0.35"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20:29" ht="10.5" customHeight="1" x14ac:dyDescent="0.35"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20:29" ht="10.5" customHeight="1" x14ac:dyDescent="0.35"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20:29" ht="10.5" customHeight="1" x14ac:dyDescent="0.35"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20:29" ht="10.5" customHeight="1" x14ac:dyDescent="0.35"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20:29" ht="10.5" customHeight="1" x14ac:dyDescent="0.35"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20:29" ht="10.5" customHeight="1" x14ac:dyDescent="0.35"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20:29" ht="10.5" customHeight="1" x14ac:dyDescent="0.35"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20:29" ht="10.5" customHeight="1" x14ac:dyDescent="0.35"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20:29" ht="10.5" customHeight="1" x14ac:dyDescent="0.35"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20:29" ht="10.5" customHeight="1" x14ac:dyDescent="0.35"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20:29" ht="10.5" customHeight="1" x14ac:dyDescent="0.35"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20:29" ht="10.5" customHeight="1" x14ac:dyDescent="0.35"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20:29" ht="10.5" customHeight="1" x14ac:dyDescent="0.35"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20:29" ht="10.5" customHeight="1" x14ac:dyDescent="0.35"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20:29" ht="10.5" customHeight="1" x14ac:dyDescent="0.35"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20:29" ht="10.5" customHeight="1" x14ac:dyDescent="0.35"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20:29" ht="10.5" customHeight="1" x14ac:dyDescent="0.35"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20:29" ht="10.5" customHeight="1" x14ac:dyDescent="0.35"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20:29" ht="10.5" customHeight="1" x14ac:dyDescent="0.35"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20:29" ht="10.5" customHeight="1" x14ac:dyDescent="0.35"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20:29" ht="10.5" customHeight="1" x14ac:dyDescent="0.35"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20:29" ht="10.5" customHeight="1" x14ac:dyDescent="0.35"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20:29" ht="10.5" customHeight="1" x14ac:dyDescent="0.35"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20:29" ht="10.5" customHeight="1" x14ac:dyDescent="0.35"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20:29" ht="10.5" customHeight="1" x14ac:dyDescent="0.35"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20:29" ht="10.5" customHeight="1" x14ac:dyDescent="0.35"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20:29" ht="10.5" customHeight="1" x14ac:dyDescent="0.35"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20:29" ht="10.5" customHeight="1" x14ac:dyDescent="0.35"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20:29" ht="10.5" customHeight="1" x14ac:dyDescent="0.35"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20:29" ht="10.5" customHeight="1" x14ac:dyDescent="0.35"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20:29" ht="10.5" customHeight="1" x14ac:dyDescent="0.35"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20:29" ht="10.5" customHeight="1" x14ac:dyDescent="0.35"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20:29" ht="10.5" customHeight="1" x14ac:dyDescent="0.35"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20:29" ht="10.5" customHeight="1" x14ac:dyDescent="0.35"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20:29" ht="10.5" customHeight="1" x14ac:dyDescent="0.35"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20:29" ht="10.5" customHeight="1" x14ac:dyDescent="0.35"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20:29" ht="10.5" customHeight="1" x14ac:dyDescent="0.35"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20:29" ht="10.5" customHeight="1" x14ac:dyDescent="0.35"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20:29" ht="10.5" customHeight="1" x14ac:dyDescent="0.35"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20:29" ht="10.5" customHeight="1" x14ac:dyDescent="0.35"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20:29" ht="10.5" customHeight="1" x14ac:dyDescent="0.35"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20:29" ht="10.5" customHeight="1" x14ac:dyDescent="0.35"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20:29" ht="10.5" customHeight="1" x14ac:dyDescent="0.35"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20:29" ht="10.5" customHeight="1" x14ac:dyDescent="0.35"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20:29" ht="10.5" customHeight="1" x14ac:dyDescent="0.35"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20:29" ht="10.5" customHeight="1" x14ac:dyDescent="0.35"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20:29" ht="10.5" customHeight="1" x14ac:dyDescent="0.35"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20:29" ht="10.5" customHeight="1" x14ac:dyDescent="0.35"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20:29" ht="10.5" customHeight="1" x14ac:dyDescent="0.35"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20:29" ht="10.5" customHeight="1" x14ac:dyDescent="0.35"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20:29" ht="10.5" customHeight="1" x14ac:dyDescent="0.35"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20:29" ht="10.5" customHeight="1" x14ac:dyDescent="0.35"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20:29" ht="10.5" customHeight="1" x14ac:dyDescent="0.35"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20:29" ht="10.5" customHeight="1" x14ac:dyDescent="0.35"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20:29" ht="10.5" customHeight="1" x14ac:dyDescent="0.35"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20:29" ht="10.5" customHeight="1" x14ac:dyDescent="0.35"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20:29" ht="10.5" customHeight="1" x14ac:dyDescent="0.35"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20:29" ht="10.5" customHeight="1" x14ac:dyDescent="0.35"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20:29" ht="10.5" customHeight="1" x14ac:dyDescent="0.35"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20:29" ht="10.5" customHeight="1" x14ac:dyDescent="0.35"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20:29" ht="10.5" customHeight="1" x14ac:dyDescent="0.35"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20:29" ht="10.5" customHeight="1" x14ac:dyDescent="0.35"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20:29" ht="10.5" customHeight="1" x14ac:dyDescent="0.35"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20:29" ht="10.5" customHeight="1" x14ac:dyDescent="0.35"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20:29" ht="10.5" customHeight="1" x14ac:dyDescent="0.35"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20:29" ht="10.5" customHeight="1" x14ac:dyDescent="0.35"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20:29" ht="10.5" customHeight="1" x14ac:dyDescent="0.35"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20:29" ht="10.5" customHeight="1" x14ac:dyDescent="0.35"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20:29" ht="10.5" customHeight="1" x14ac:dyDescent="0.35"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20:29" ht="10.5" customHeight="1" x14ac:dyDescent="0.35"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20:29" ht="10.5" customHeight="1" x14ac:dyDescent="0.35"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20:29" ht="10.5" customHeight="1" x14ac:dyDescent="0.35"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20:29" ht="10.5" customHeight="1" x14ac:dyDescent="0.35"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20:29" ht="10.5" customHeight="1" x14ac:dyDescent="0.35"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20:29" ht="10.5" customHeight="1" x14ac:dyDescent="0.35"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20:29" ht="10.5" customHeight="1" x14ac:dyDescent="0.35"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20:29" ht="10.5" customHeight="1" x14ac:dyDescent="0.35"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20:29" ht="10.5" customHeight="1" x14ac:dyDescent="0.35"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20:29" ht="10.5" customHeight="1" x14ac:dyDescent="0.35"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20:29" ht="10.5" customHeight="1" x14ac:dyDescent="0.35"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20:29" ht="10.5" customHeight="1" x14ac:dyDescent="0.35"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20:29" ht="10.5" customHeight="1" x14ac:dyDescent="0.35"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20:29" ht="10.5" customHeight="1" x14ac:dyDescent="0.35"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20:29" ht="10.5" customHeight="1" x14ac:dyDescent="0.35"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20:29" ht="10.5" customHeight="1" x14ac:dyDescent="0.35"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20:29" ht="10.5" customHeight="1" x14ac:dyDescent="0.35"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20:29" ht="10.5" customHeight="1" x14ac:dyDescent="0.35"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20:29" ht="10.5" customHeight="1" x14ac:dyDescent="0.35"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20:29" ht="10.5" customHeight="1" x14ac:dyDescent="0.35"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20:29" ht="10.5" customHeight="1" x14ac:dyDescent="0.35"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20:29" ht="10.5" customHeight="1" x14ac:dyDescent="0.35"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20:29" ht="10.5" customHeight="1" x14ac:dyDescent="0.35"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20:29" ht="10.5" customHeight="1" x14ac:dyDescent="0.35"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20:29" ht="10.5" customHeight="1" x14ac:dyDescent="0.35"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20:29" ht="10.5" customHeight="1" x14ac:dyDescent="0.35"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20:29" ht="10.5" customHeight="1" x14ac:dyDescent="0.35"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20:29" ht="10.5" customHeight="1" x14ac:dyDescent="0.35"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20:29" ht="10.5" customHeight="1" x14ac:dyDescent="0.35"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20:29" ht="10.5" customHeight="1" x14ac:dyDescent="0.35"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20:29" ht="10.5" customHeight="1" x14ac:dyDescent="0.35"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20:29" ht="10.5" customHeight="1" x14ac:dyDescent="0.35"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20:29" ht="10.5" customHeight="1" x14ac:dyDescent="0.35"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20:29" ht="10.5" customHeight="1" x14ac:dyDescent="0.35"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20:29" ht="10.5" customHeight="1" x14ac:dyDescent="0.35"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20:29" ht="10.5" customHeight="1" x14ac:dyDescent="0.35"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20:29" ht="10.5" customHeight="1" x14ac:dyDescent="0.35"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20:29" ht="10.5" customHeight="1" x14ac:dyDescent="0.35"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20:29" ht="10.5" customHeight="1" x14ac:dyDescent="0.35"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20:29" ht="10.5" customHeight="1" x14ac:dyDescent="0.35"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20:29" ht="10.5" customHeight="1" x14ac:dyDescent="0.35"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20:29" ht="10.5" customHeight="1" x14ac:dyDescent="0.35"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20:29" ht="10.5" customHeight="1" x14ac:dyDescent="0.35"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20:29" ht="10.5" customHeight="1" x14ac:dyDescent="0.35"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20:29" ht="10.5" customHeight="1" x14ac:dyDescent="0.35"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20:29" ht="10.5" customHeight="1" x14ac:dyDescent="0.35"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20:29" ht="10.5" customHeight="1" x14ac:dyDescent="0.35"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20:29" ht="10.5" customHeight="1" x14ac:dyDescent="0.35"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20:29" ht="10.5" customHeight="1" x14ac:dyDescent="0.35"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20:29" ht="10.5" customHeight="1" x14ac:dyDescent="0.35"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20:29" ht="10.5" customHeight="1" x14ac:dyDescent="0.35"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20:29" ht="10.5" customHeight="1" x14ac:dyDescent="0.35"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20:29" ht="10.5" customHeight="1" x14ac:dyDescent="0.35"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20:29" ht="10.5" customHeight="1" x14ac:dyDescent="0.35"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20:29" ht="10.5" customHeight="1" x14ac:dyDescent="0.35"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20:29" ht="10.5" customHeight="1" x14ac:dyDescent="0.35"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20:29" ht="10.5" customHeight="1" x14ac:dyDescent="0.35"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20:29" ht="10.5" customHeight="1" x14ac:dyDescent="0.35"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20:29" ht="10.5" customHeight="1" x14ac:dyDescent="0.35"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20:29" ht="10.5" customHeight="1" x14ac:dyDescent="0.35"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20:29" ht="10.5" customHeight="1" x14ac:dyDescent="0.35"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20:29" ht="10.5" customHeight="1" x14ac:dyDescent="0.35"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20:29" ht="10.5" customHeight="1" x14ac:dyDescent="0.35"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20:29" ht="10.5" customHeight="1" x14ac:dyDescent="0.35"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20:29" ht="10.5" customHeight="1" x14ac:dyDescent="0.35"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20:29" ht="10.5" customHeight="1" x14ac:dyDescent="0.35"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20:29" ht="10.5" customHeight="1" x14ac:dyDescent="0.35"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20:29" ht="10.5" customHeight="1" x14ac:dyDescent="0.35"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20:29" ht="10.5" customHeight="1" x14ac:dyDescent="0.35"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20:29" ht="10.5" customHeight="1" x14ac:dyDescent="0.35"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20:29" ht="10.5" customHeight="1" x14ac:dyDescent="0.35"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20:29" ht="10.5" customHeight="1" x14ac:dyDescent="0.35"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20:29" ht="10.5" customHeight="1" x14ac:dyDescent="0.35"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20:29" ht="10.5" customHeight="1" x14ac:dyDescent="0.35"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20:29" ht="10.5" customHeight="1" x14ac:dyDescent="0.35"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20:29" ht="10.5" customHeight="1" x14ac:dyDescent="0.35"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20:29" ht="10.5" customHeight="1" x14ac:dyDescent="0.35"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20:29" ht="10.5" customHeight="1" x14ac:dyDescent="0.35"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20:29" ht="10.5" customHeight="1" x14ac:dyDescent="0.35"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20:29" ht="10.5" customHeight="1" x14ac:dyDescent="0.35"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20:29" ht="10.5" customHeight="1" x14ac:dyDescent="0.35"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2"/>
  <sheetViews>
    <sheetView tabSelected="1" zoomScale="78" workbookViewId="0">
      <selection activeCell="D23" sqref="D23:E23"/>
    </sheetView>
  </sheetViews>
  <sheetFormatPr baseColWidth="10" defaultColWidth="14.453125" defaultRowHeight="14.5" x14ac:dyDescent="0.35"/>
  <cols>
    <col min="1" max="2" width="11.54296875" style="30" customWidth="1"/>
    <col min="3" max="3" width="16.1796875" style="30" customWidth="1"/>
    <col min="4" max="4" width="12" style="30" customWidth="1"/>
    <col min="5" max="5" width="4.81640625" style="30" hidden="1" customWidth="1"/>
    <col min="6" max="6" width="10.54296875" style="30" customWidth="1"/>
    <col min="7" max="11" width="10.7265625" style="30" customWidth="1"/>
    <col min="12" max="12" width="5.453125" style="30" customWidth="1"/>
    <col min="13" max="26" width="10.7265625" style="30" customWidth="1"/>
    <col min="27" max="16384" width="14.453125" style="30"/>
  </cols>
  <sheetData>
    <row r="1" spans="1:26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W1" s="16"/>
    </row>
    <row r="2" spans="1:26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Z2" s="16"/>
    </row>
    <row r="3" spans="1:26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Z3" s="16"/>
    </row>
    <row r="4" spans="1:26" x14ac:dyDescent="0.3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Z4" s="16"/>
    </row>
    <row r="5" spans="1:26" ht="16.5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31"/>
      <c r="Q5" s="16"/>
      <c r="R5" s="16"/>
      <c r="Z5" s="16"/>
    </row>
    <row r="6" spans="1:26" ht="16.5" x14ac:dyDescent="0.35">
      <c r="A6" s="16"/>
      <c r="B6" s="66" t="s">
        <v>14</v>
      </c>
      <c r="C6" s="32" t="s">
        <v>15</v>
      </c>
      <c r="D6" s="26">
        <f>COUNTIF('Plan de prueba'!Q2:Q74,C6)</f>
        <v>16</v>
      </c>
      <c r="E6" s="20"/>
      <c r="F6" s="20"/>
      <c r="G6" s="16"/>
      <c r="H6" s="16"/>
      <c r="I6" s="16"/>
      <c r="J6" s="16"/>
      <c r="K6" s="16"/>
      <c r="L6" s="16"/>
      <c r="M6" s="16"/>
      <c r="N6" s="16"/>
      <c r="O6" s="16"/>
      <c r="P6" s="31"/>
      <c r="Q6" s="16"/>
      <c r="R6" s="16"/>
      <c r="Z6" s="16"/>
    </row>
    <row r="7" spans="1:26" x14ac:dyDescent="0.35">
      <c r="A7" s="16"/>
      <c r="B7" s="67"/>
      <c r="C7" s="32" t="s">
        <v>16</v>
      </c>
      <c r="D7" s="26">
        <f>COUNTIF('Plan de prueba'!Q2:Q74,C7)</f>
        <v>0</v>
      </c>
      <c r="E7" s="20"/>
      <c r="F7" s="20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Z7" s="16"/>
    </row>
    <row r="8" spans="1:26" x14ac:dyDescent="0.35">
      <c r="A8" s="16"/>
      <c r="B8" s="67"/>
      <c r="C8" s="32" t="s">
        <v>17</v>
      </c>
      <c r="D8" s="26">
        <f>COUNTIF('Plan de prueba'!Q2:Q74,C8)</f>
        <v>2</v>
      </c>
      <c r="E8" s="20"/>
      <c r="F8" s="20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Z8" s="16"/>
    </row>
    <row r="9" spans="1:26" ht="16.5" x14ac:dyDescent="0.35">
      <c r="A9" s="16"/>
      <c r="B9" s="67"/>
      <c r="C9" s="32" t="s">
        <v>18</v>
      </c>
      <c r="D9" s="26">
        <f>COUNTIF('Plan de prueba'!Q2:Q74,C9)</f>
        <v>0</v>
      </c>
      <c r="E9" s="20"/>
      <c r="F9" s="20"/>
      <c r="G9" s="16"/>
      <c r="H9" s="16"/>
      <c r="I9" s="16"/>
      <c r="J9" s="16"/>
      <c r="K9" s="16"/>
      <c r="L9" s="16"/>
      <c r="M9" s="16"/>
      <c r="N9" s="16"/>
      <c r="O9" s="31"/>
      <c r="P9" s="16"/>
      <c r="Q9" s="16"/>
      <c r="R9" s="16"/>
      <c r="Z9" s="16"/>
    </row>
    <row r="10" spans="1:26" x14ac:dyDescent="0.35">
      <c r="A10" s="16"/>
      <c r="B10" s="68"/>
      <c r="C10" s="32" t="s">
        <v>19</v>
      </c>
      <c r="D10" s="26">
        <f>COUNTIF('Plan de prueba'!Q2:Q74,C10)</f>
        <v>0</v>
      </c>
      <c r="E10" s="20"/>
      <c r="F10" s="20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Z10" s="16"/>
    </row>
    <row r="11" spans="1:26" x14ac:dyDescent="0.35">
      <c r="A11" s="16"/>
      <c r="B11" s="16"/>
      <c r="C11" s="16"/>
      <c r="D11" s="20"/>
      <c r="E11" s="20"/>
      <c r="F11" s="20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Z11" s="16"/>
    </row>
    <row r="12" spans="1:26" x14ac:dyDescent="0.35">
      <c r="A12" s="16"/>
      <c r="B12" s="69"/>
      <c r="C12" s="70"/>
      <c r="D12" s="2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Z12" s="16"/>
    </row>
    <row r="13" spans="1:26" x14ac:dyDescent="0.35">
      <c r="A13" s="16"/>
      <c r="B13" s="64" t="s">
        <v>20</v>
      </c>
      <c r="C13" s="71"/>
      <c r="D13" s="28">
        <f>SUM(D6:D10)</f>
        <v>18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Z13" s="16"/>
    </row>
    <row r="14" spans="1:26" x14ac:dyDescent="0.35">
      <c r="A14" s="16"/>
      <c r="B14" s="72" t="s">
        <v>21</v>
      </c>
      <c r="C14" s="73"/>
      <c r="D14" s="76">
        <f>(D6+D7+D9+D10)/D13</f>
        <v>0.88888888888888884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Z14" s="16"/>
    </row>
    <row r="15" spans="1:26" x14ac:dyDescent="0.35">
      <c r="A15" s="16"/>
      <c r="B15" s="74"/>
      <c r="C15" s="75"/>
      <c r="D15" s="6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Z15" s="16"/>
    </row>
    <row r="16" spans="1:26" x14ac:dyDescent="0.35">
      <c r="A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Z16" s="16"/>
    </row>
    <row r="17" spans="1:26" x14ac:dyDescent="0.3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35">
      <c r="A18" s="16"/>
      <c r="B18" s="56" t="s">
        <v>166</v>
      </c>
      <c r="C18" s="57"/>
      <c r="D18" s="64" t="s">
        <v>50</v>
      </c>
      <c r="E18" s="65"/>
      <c r="F18" s="28">
        <f>COUNTIF('Plan de prueba'!$S$2:$S$74,D18)</f>
        <v>18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6" x14ac:dyDescent="0.35">
      <c r="A19" s="16"/>
      <c r="B19" s="58"/>
      <c r="C19" s="59"/>
      <c r="D19" s="64"/>
      <c r="E19" s="65"/>
      <c r="F19" s="28"/>
      <c r="G19" s="33"/>
      <c r="H19" s="33"/>
      <c r="I19" s="33"/>
      <c r="J19" s="33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6" x14ac:dyDescent="0.35">
      <c r="A20" s="16"/>
      <c r="B20" s="58"/>
      <c r="C20" s="59"/>
      <c r="D20" s="64"/>
      <c r="E20" s="65"/>
      <c r="F20" s="28"/>
      <c r="G20" s="33"/>
      <c r="H20" s="33"/>
      <c r="I20" s="33"/>
      <c r="J20" s="33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6" x14ac:dyDescent="0.35">
      <c r="A21" s="16"/>
      <c r="B21" s="60"/>
      <c r="C21" s="61"/>
      <c r="D21" s="64"/>
      <c r="E21" s="65"/>
      <c r="F21" s="34"/>
      <c r="G21" s="33"/>
      <c r="H21" s="33"/>
      <c r="I21" s="33"/>
      <c r="J21" s="33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6" x14ac:dyDescent="0.35">
      <c r="A22" s="16"/>
      <c r="B22" s="16"/>
      <c r="C22" s="16"/>
      <c r="D22" s="16"/>
      <c r="H22" s="33"/>
      <c r="I22" s="33"/>
      <c r="J22" s="33"/>
      <c r="K22" s="3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35">
      <c r="A23" s="16"/>
      <c r="B23" s="16"/>
      <c r="C23" s="20"/>
      <c r="D23" s="62" t="s">
        <v>22</v>
      </c>
      <c r="E23" s="63"/>
      <c r="F23" s="29">
        <f>SUM(F18:F20)</f>
        <v>18</v>
      </c>
      <c r="H23" s="33"/>
      <c r="I23" s="33"/>
      <c r="J23" s="33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35">
      <c r="A24" s="16"/>
      <c r="B24" s="16"/>
      <c r="C24" s="16"/>
      <c r="D24" s="16"/>
      <c r="E24" s="16"/>
      <c r="F24" s="16"/>
      <c r="G24" s="16"/>
      <c r="H24" s="33"/>
      <c r="I24" s="33"/>
      <c r="J24" s="33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35">
      <c r="A26" s="16"/>
      <c r="B26" s="16"/>
      <c r="C26" s="3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x14ac:dyDescent="0.3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x14ac:dyDescent="0.3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x14ac:dyDescent="0.3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x14ac:dyDescent="0.3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3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3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3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3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x14ac:dyDescent="0.3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x14ac:dyDescent="0.3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x14ac:dyDescent="0.3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3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x14ac:dyDescent="0.3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x14ac:dyDescent="0.3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x14ac:dyDescent="0.3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x14ac:dyDescent="0.3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x14ac:dyDescent="0.3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x14ac:dyDescent="0.3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3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x14ac:dyDescent="0.3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x14ac:dyDescent="0.3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x14ac:dyDescent="0.3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x14ac:dyDescent="0.3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x14ac:dyDescent="0.3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x14ac:dyDescent="0.3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3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x14ac:dyDescent="0.3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x14ac:dyDescent="0.3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x14ac:dyDescent="0.3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x14ac:dyDescent="0.3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x14ac:dyDescent="0.3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x14ac:dyDescent="0.3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x14ac:dyDescent="0.3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x14ac:dyDescent="0.3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x14ac:dyDescent="0.3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x14ac:dyDescent="0.3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x14ac:dyDescent="0.3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x14ac:dyDescent="0.3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5" s="30" customFormat="1" x14ac:dyDescent="0.35"/>
    <row r="226" s="30" customFormat="1" x14ac:dyDescent="0.35"/>
    <row r="227" s="30" customFormat="1" x14ac:dyDescent="0.35"/>
    <row r="228" s="30" customFormat="1" x14ac:dyDescent="0.35"/>
    <row r="229" s="30" customFormat="1" x14ac:dyDescent="0.35"/>
    <row r="230" s="30" customFormat="1" x14ac:dyDescent="0.35"/>
    <row r="231" s="30" customFormat="1" x14ac:dyDescent="0.35"/>
    <row r="232" s="30" customFormat="1" x14ac:dyDescent="0.35"/>
    <row r="233" s="30" customFormat="1" x14ac:dyDescent="0.35"/>
    <row r="234" s="30" customFormat="1" x14ac:dyDescent="0.35"/>
    <row r="235" s="30" customFormat="1" x14ac:dyDescent="0.35"/>
    <row r="236" s="30" customFormat="1" x14ac:dyDescent="0.35"/>
    <row r="237" s="30" customFormat="1" x14ac:dyDescent="0.35"/>
    <row r="238" s="30" customFormat="1" x14ac:dyDescent="0.35"/>
    <row r="239" s="30" customFormat="1" x14ac:dyDescent="0.35"/>
    <row r="240" s="30" customFormat="1" x14ac:dyDescent="0.35"/>
    <row r="241" s="30" customFormat="1" x14ac:dyDescent="0.35"/>
    <row r="242" s="30" customFormat="1" x14ac:dyDescent="0.35"/>
    <row r="243" s="30" customFormat="1" x14ac:dyDescent="0.35"/>
    <row r="244" s="30" customFormat="1" x14ac:dyDescent="0.35"/>
    <row r="245" s="30" customFormat="1" x14ac:dyDescent="0.35"/>
    <row r="246" s="30" customFormat="1" x14ac:dyDescent="0.35"/>
    <row r="247" s="30" customFormat="1" x14ac:dyDescent="0.35"/>
    <row r="248" s="30" customFormat="1" x14ac:dyDescent="0.35"/>
    <row r="249" s="30" customFormat="1" x14ac:dyDescent="0.35"/>
    <row r="250" s="30" customFormat="1" x14ac:dyDescent="0.35"/>
    <row r="251" s="30" customFormat="1" x14ac:dyDescent="0.35"/>
    <row r="252" s="30" customFormat="1" x14ac:dyDescent="0.35"/>
    <row r="253" s="30" customFormat="1" x14ac:dyDescent="0.35"/>
    <row r="254" s="30" customFormat="1" x14ac:dyDescent="0.35"/>
    <row r="255" s="30" customFormat="1" x14ac:dyDescent="0.35"/>
    <row r="256" s="30" customFormat="1" x14ac:dyDescent="0.35"/>
    <row r="257" s="30" customFormat="1" x14ac:dyDescent="0.35"/>
    <row r="258" s="30" customFormat="1" x14ac:dyDescent="0.35"/>
    <row r="259" s="30" customFormat="1" x14ac:dyDescent="0.35"/>
    <row r="260" s="30" customFormat="1" x14ac:dyDescent="0.35"/>
    <row r="261" s="30" customFormat="1" x14ac:dyDescent="0.35"/>
    <row r="262" s="30" customFormat="1" x14ac:dyDescent="0.35"/>
    <row r="263" s="30" customFormat="1" x14ac:dyDescent="0.35"/>
    <row r="264" s="30" customFormat="1" x14ac:dyDescent="0.35"/>
    <row r="265" s="30" customFormat="1" x14ac:dyDescent="0.35"/>
    <row r="266" s="30" customFormat="1" x14ac:dyDescent="0.35"/>
    <row r="267" s="30" customFormat="1" x14ac:dyDescent="0.35"/>
    <row r="268" s="30" customFormat="1" x14ac:dyDescent="0.35"/>
    <row r="269" s="30" customFormat="1" x14ac:dyDescent="0.35"/>
    <row r="270" s="30" customFormat="1" x14ac:dyDescent="0.35"/>
    <row r="271" s="30" customFormat="1" x14ac:dyDescent="0.35"/>
    <row r="272" s="30" customFormat="1" x14ac:dyDescent="0.35"/>
    <row r="273" s="30" customFormat="1" x14ac:dyDescent="0.35"/>
    <row r="274" s="30" customFormat="1" x14ac:dyDescent="0.35"/>
    <row r="275" s="30" customFormat="1" x14ac:dyDescent="0.35"/>
    <row r="276" s="30" customFormat="1" x14ac:dyDescent="0.35"/>
    <row r="277" s="30" customFormat="1" x14ac:dyDescent="0.35"/>
    <row r="278" s="30" customFormat="1" x14ac:dyDescent="0.35"/>
    <row r="279" s="30" customFormat="1" x14ac:dyDescent="0.35"/>
    <row r="280" s="30" customFormat="1" x14ac:dyDescent="0.35"/>
    <row r="281" s="30" customFormat="1" x14ac:dyDescent="0.35"/>
    <row r="282" s="30" customFormat="1" x14ac:dyDescent="0.35"/>
    <row r="283" s="30" customFormat="1" x14ac:dyDescent="0.35"/>
    <row r="284" s="30" customFormat="1" x14ac:dyDescent="0.35"/>
    <row r="285" s="30" customFormat="1" x14ac:dyDescent="0.35"/>
    <row r="286" s="30" customFormat="1" x14ac:dyDescent="0.35"/>
    <row r="287" s="30" customFormat="1" x14ac:dyDescent="0.35"/>
    <row r="288" s="30" customFormat="1" x14ac:dyDescent="0.35"/>
    <row r="289" s="30" customFormat="1" x14ac:dyDescent="0.35"/>
    <row r="290" s="30" customFormat="1" x14ac:dyDescent="0.35"/>
    <row r="291" s="30" customFormat="1" x14ac:dyDescent="0.35"/>
    <row r="292" s="30" customFormat="1" x14ac:dyDescent="0.35"/>
    <row r="293" s="30" customFormat="1" x14ac:dyDescent="0.35"/>
    <row r="294" s="30" customFormat="1" x14ac:dyDescent="0.35"/>
    <row r="295" s="30" customFormat="1" x14ac:dyDescent="0.35"/>
    <row r="296" s="30" customFormat="1" x14ac:dyDescent="0.35"/>
    <row r="297" s="30" customFormat="1" x14ac:dyDescent="0.35"/>
    <row r="298" s="30" customFormat="1" x14ac:dyDescent="0.35"/>
    <row r="299" s="30" customFormat="1" x14ac:dyDescent="0.35"/>
    <row r="300" s="30" customFormat="1" x14ac:dyDescent="0.35"/>
    <row r="301" s="30" customFormat="1" x14ac:dyDescent="0.35"/>
    <row r="302" s="30" customFormat="1" x14ac:dyDescent="0.35"/>
    <row r="303" s="30" customFormat="1" x14ac:dyDescent="0.35"/>
    <row r="304" s="30" customFormat="1" x14ac:dyDescent="0.35"/>
    <row r="305" s="30" customFormat="1" x14ac:dyDescent="0.35"/>
    <row r="306" s="30" customFormat="1" x14ac:dyDescent="0.35"/>
    <row r="307" s="30" customFormat="1" x14ac:dyDescent="0.35"/>
    <row r="308" s="30" customFormat="1" x14ac:dyDescent="0.35"/>
    <row r="309" s="30" customFormat="1" x14ac:dyDescent="0.35"/>
    <row r="310" s="30" customFormat="1" x14ac:dyDescent="0.35"/>
    <row r="311" s="30" customFormat="1" x14ac:dyDescent="0.35"/>
    <row r="312" s="30" customFormat="1" x14ac:dyDescent="0.35"/>
    <row r="313" s="30" customFormat="1" x14ac:dyDescent="0.35"/>
    <row r="314" s="30" customFormat="1" x14ac:dyDescent="0.35"/>
    <row r="315" s="30" customFormat="1" x14ac:dyDescent="0.35"/>
    <row r="316" s="30" customFormat="1" x14ac:dyDescent="0.35"/>
    <row r="317" s="30" customFormat="1" x14ac:dyDescent="0.35"/>
    <row r="318" s="30" customFormat="1" x14ac:dyDescent="0.35"/>
    <row r="319" s="30" customFormat="1" x14ac:dyDescent="0.35"/>
    <row r="320" s="30" customFormat="1" x14ac:dyDescent="0.35"/>
    <row r="321" s="30" customFormat="1" x14ac:dyDescent="0.35"/>
    <row r="322" s="30" customFormat="1" x14ac:dyDescent="0.35"/>
    <row r="323" s="30" customFormat="1" x14ac:dyDescent="0.35"/>
    <row r="324" s="30" customFormat="1" x14ac:dyDescent="0.35"/>
    <row r="325" s="30" customFormat="1" x14ac:dyDescent="0.35"/>
    <row r="326" s="30" customFormat="1" x14ac:dyDescent="0.35"/>
    <row r="327" s="30" customFormat="1" x14ac:dyDescent="0.35"/>
    <row r="328" s="30" customFormat="1" x14ac:dyDescent="0.35"/>
    <row r="329" s="30" customFormat="1" x14ac:dyDescent="0.35"/>
    <row r="330" s="30" customFormat="1" x14ac:dyDescent="0.35"/>
    <row r="331" s="30" customFormat="1" x14ac:dyDescent="0.35"/>
    <row r="332" s="30" customFormat="1" x14ac:dyDescent="0.35"/>
    <row r="333" s="30" customFormat="1" x14ac:dyDescent="0.35"/>
    <row r="334" s="30" customFormat="1" x14ac:dyDescent="0.35"/>
    <row r="335" s="30" customFormat="1" x14ac:dyDescent="0.35"/>
    <row r="336" s="30" customFormat="1" x14ac:dyDescent="0.35"/>
    <row r="337" s="30" customFormat="1" x14ac:dyDescent="0.35"/>
    <row r="338" s="30" customFormat="1" x14ac:dyDescent="0.35"/>
    <row r="339" s="30" customFormat="1" x14ac:dyDescent="0.35"/>
    <row r="340" s="30" customFormat="1" x14ac:dyDescent="0.35"/>
    <row r="341" s="30" customFormat="1" x14ac:dyDescent="0.35"/>
    <row r="342" s="30" customFormat="1" x14ac:dyDescent="0.35"/>
    <row r="343" s="30" customFormat="1" x14ac:dyDescent="0.35"/>
    <row r="344" s="30" customFormat="1" x14ac:dyDescent="0.35"/>
    <row r="345" s="30" customFormat="1" x14ac:dyDescent="0.35"/>
    <row r="346" s="30" customFormat="1" x14ac:dyDescent="0.35"/>
    <row r="347" s="30" customFormat="1" x14ac:dyDescent="0.35"/>
    <row r="348" s="30" customFormat="1" x14ac:dyDescent="0.35"/>
    <row r="349" s="30" customFormat="1" x14ac:dyDescent="0.35"/>
    <row r="350" s="30" customFormat="1" x14ac:dyDescent="0.35"/>
    <row r="351" s="30" customFormat="1" x14ac:dyDescent="0.35"/>
    <row r="352" s="30" customFormat="1" x14ac:dyDescent="0.35"/>
    <row r="353" s="30" customFormat="1" x14ac:dyDescent="0.35"/>
    <row r="354" s="30" customFormat="1" x14ac:dyDescent="0.35"/>
    <row r="355" s="30" customFormat="1" x14ac:dyDescent="0.35"/>
    <row r="356" s="30" customFormat="1" x14ac:dyDescent="0.35"/>
    <row r="357" s="30" customFormat="1" x14ac:dyDescent="0.35"/>
    <row r="358" s="30" customFormat="1" x14ac:dyDescent="0.35"/>
    <row r="359" s="30" customFormat="1" x14ac:dyDescent="0.35"/>
    <row r="360" s="30" customFormat="1" x14ac:dyDescent="0.35"/>
    <row r="361" s="30" customFormat="1" x14ac:dyDescent="0.35"/>
    <row r="362" s="30" customFormat="1" x14ac:dyDescent="0.35"/>
    <row r="363" s="30" customFormat="1" x14ac:dyDescent="0.35"/>
    <row r="364" s="30" customFormat="1" x14ac:dyDescent="0.35"/>
    <row r="365" s="30" customFormat="1" x14ac:dyDescent="0.35"/>
    <row r="366" s="30" customFormat="1" x14ac:dyDescent="0.35"/>
    <row r="367" s="30" customFormat="1" x14ac:dyDescent="0.35"/>
    <row r="368" s="30" customFormat="1" x14ac:dyDescent="0.35"/>
    <row r="369" s="30" customFormat="1" x14ac:dyDescent="0.35"/>
    <row r="370" s="30" customFormat="1" x14ac:dyDescent="0.35"/>
    <row r="371" s="30" customFormat="1" x14ac:dyDescent="0.35"/>
    <row r="372" s="30" customFormat="1" x14ac:dyDescent="0.35"/>
    <row r="373" s="30" customFormat="1" x14ac:dyDescent="0.35"/>
    <row r="374" s="30" customFormat="1" x14ac:dyDescent="0.35"/>
    <row r="375" s="30" customFormat="1" x14ac:dyDescent="0.35"/>
    <row r="376" s="30" customFormat="1" x14ac:dyDescent="0.35"/>
    <row r="377" s="30" customFormat="1" x14ac:dyDescent="0.35"/>
    <row r="378" s="30" customFormat="1" x14ac:dyDescent="0.35"/>
    <row r="379" s="30" customFormat="1" x14ac:dyDescent="0.35"/>
    <row r="380" s="30" customFormat="1" x14ac:dyDescent="0.35"/>
    <row r="381" s="30" customFormat="1" x14ac:dyDescent="0.35"/>
    <row r="382" s="30" customFormat="1" x14ac:dyDescent="0.35"/>
    <row r="383" s="30" customFormat="1" x14ac:dyDescent="0.35"/>
    <row r="384" s="30" customFormat="1" x14ac:dyDescent="0.35"/>
    <row r="385" s="30" customFormat="1" x14ac:dyDescent="0.35"/>
    <row r="386" s="30" customFormat="1" x14ac:dyDescent="0.35"/>
    <row r="387" s="30" customFormat="1" x14ac:dyDescent="0.35"/>
    <row r="388" s="30" customFormat="1" x14ac:dyDescent="0.35"/>
    <row r="389" s="30" customFormat="1" x14ac:dyDescent="0.35"/>
    <row r="390" s="30" customFormat="1" x14ac:dyDescent="0.35"/>
    <row r="391" s="30" customFormat="1" x14ac:dyDescent="0.35"/>
    <row r="392" s="30" customFormat="1" x14ac:dyDescent="0.35"/>
    <row r="393" s="30" customFormat="1" x14ac:dyDescent="0.35"/>
    <row r="394" s="30" customFormat="1" x14ac:dyDescent="0.35"/>
    <row r="395" s="30" customFormat="1" x14ac:dyDescent="0.35"/>
    <row r="396" s="30" customFormat="1" x14ac:dyDescent="0.35"/>
    <row r="397" s="30" customFormat="1" x14ac:dyDescent="0.35"/>
    <row r="398" s="30" customFormat="1" x14ac:dyDescent="0.35"/>
    <row r="399" s="30" customFormat="1" x14ac:dyDescent="0.35"/>
    <row r="400" s="30" customFormat="1" x14ac:dyDescent="0.35"/>
    <row r="401" s="30" customFormat="1" x14ac:dyDescent="0.35"/>
    <row r="402" s="30" customFormat="1" x14ac:dyDescent="0.35"/>
    <row r="403" s="30" customFormat="1" x14ac:dyDescent="0.35"/>
    <row r="404" s="30" customFormat="1" x14ac:dyDescent="0.35"/>
    <row r="405" s="30" customFormat="1" x14ac:dyDescent="0.35"/>
    <row r="406" s="30" customFormat="1" x14ac:dyDescent="0.35"/>
    <row r="407" s="30" customFormat="1" x14ac:dyDescent="0.35"/>
    <row r="408" s="30" customFormat="1" x14ac:dyDescent="0.35"/>
    <row r="409" s="30" customFormat="1" x14ac:dyDescent="0.35"/>
    <row r="410" s="30" customFormat="1" x14ac:dyDescent="0.35"/>
    <row r="411" s="30" customFormat="1" x14ac:dyDescent="0.35"/>
    <row r="412" s="30" customFormat="1" x14ac:dyDescent="0.35"/>
    <row r="413" s="30" customFormat="1" x14ac:dyDescent="0.35"/>
    <row r="414" s="30" customFormat="1" x14ac:dyDescent="0.35"/>
    <row r="415" s="30" customFormat="1" x14ac:dyDescent="0.35"/>
    <row r="416" s="30" customFormat="1" x14ac:dyDescent="0.35"/>
    <row r="417" s="30" customFormat="1" x14ac:dyDescent="0.35"/>
    <row r="418" s="30" customFormat="1" x14ac:dyDescent="0.35"/>
    <row r="419" s="30" customFormat="1" x14ac:dyDescent="0.35"/>
    <row r="420" s="30" customFormat="1" x14ac:dyDescent="0.35"/>
    <row r="421" s="30" customFormat="1" x14ac:dyDescent="0.35"/>
    <row r="422" s="30" customFormat="1" x14ac:dyDescent="0.35"/>
    <row r="423" s="30" customFormat="1" x14ac:dyDescent="0.35"/>
    <row r="424" s="30" customFormat="1" x14ac:dyDescent="0.35"/>
    <row r="425" s="30" customFormat="1" x14ac:dyDescent="0.35"/>
    <row r="426" s="30" customFormat="1" x14ac:dyDescent="0.35"/>
    <row r="427" s="30" customFormat="1" x14ac:dyDescent="0.35"/>
    <row r="428" s="30" customFormat="1" x14ac:dyDescent="0.35"/>
    <row r="429" s="30" customFormat="1" x14ac:dyDescent="0.35"/>
    <row r="430" s="30" customFormat="1" x14ac:dyDescent="0.35"/>
    <row r="431" s="30" customFormat="1" x14ac:dyDescent="0.35"/>
    <row r="432" s="30" customFormat="1" x14ac:dyDescent="0.35"/>
    <row r="433" s="30" customFormat="1" x14ac:dyDescent="0.35"/>
    <row r="434" s="30" customFormat="1" x14ac:dyDescent="0.35"/>
    <row r="435" s="30" customFormat="1" x14ac:dyDescent="0.35"/>
    <row r="436" s="30" customFormat="1" x14ac:dyDescent="0.35"/>
    <row r="437" s="30" customFormat="1" x14ac:dyDescent="0.35"/>
    <row r="438" s="30" customFormat="1" x14ac:dyDescent="0.35"/>
    <row r="439" s="30" customFormat="1" x14ac:dyDescent="0.35"/>
    <row r="440" s="30" customFormat="1" x14ac:dyDescent="0.35"/>
    <row r="441" s="30" customFormat="1" x14ac:dyDescent="0.35"/>
    <row r="442" s="30" customFormat="1" x14ac:dyDescent="0.35"/>
    <row r="443" s="30" customFormat="1" x14ac:dyDescent="0.35"/>
    <row r="444" s="30" customFormat="1" x14ac:dyDescent="0.35"/>
    <row r="445" s="30" customFormat="1" x14ac:dyDescent="0.35"/>
    <row r="446" s="30" customFormat="1" x14ac:dyDescent="0.35"/>
    <row r="447" s="30" customFormat="1" x14ac:dyDescent="0.35"/>
    <row r="448" s="30" customFormat="1" x14ac:dyDescent="0.35"/>
    <row r="449" s="30" customFormat="1" x14ac:dyDescent="0.35"/>
    <row r="450" s="30" customFormat="1" x14ac:dyDescent="0.35"/>
    <row r="451" s="30" customFormat="1" x14ac:dyDescent="0.35"/>
    <row r="452" s="30" customFormat="1" x14ac:dyDescent="0.35"/>
    <row r="453" s="30" customFormat="1" x14ac:dyDescent="0.35"/>
    <row r="454" s="30" customFormat="1" x14ac:dyDescent="0.35"/>
    <row r="455" s="30" customFormat="1" x14ac:dyDescent="0.35"/>
    <row r="456" s="30" customFormat="1" x14ac:dyDescent="0.35"/>
    <row r="457" s="30" customFormat="1" x14ac:dyDescent="0.35"/>
    <row r="458" s="30" customFormat="1" x14ac:dyDescent="0.35"/>
    <row r="459" s="30" customFormat="1" x14ac:dyDescent="0.35"/>
    <row r="460" s="30" customFormat="1" x14ac:dyDescent="0.35"/>
    <row r="461" s="30" customFormat="1" x14ac:dyDescent="0.35"/>
    <row r="462" s="30" customFormat="1" x14ac:dyDescent="0.35"/>
    <row r="463" s="30" customFormat="1" x14ac:dyDescent="0.35"/>
    <row r="464" s="30" customFormat="1" x14ac:dyDescent="0.35"/>
    <row r="465" s="30" customFormat="1" x14ac:dyDescent="0.35"/>
    <row r="466" s="30" customFormat="1" x14ac:dyDescent="0.35"/>
    <row r="467" s="30" customFormat="1" x14ac:dyDescent="0.35"/>
    <row r="468" s="30" customFormat="1" x14ac:dyDescent="0.35"/>
    <row r="469" s="30" customFormat="1" x14ac:dyDescent="0.35"/>
    <row r="470" s="30" customFormat="1" x14ac:dyDescent="0.35"/>
    <row r="471" s="30" customFormat="1" x14ac:dyDescent="0.35"/>
    <row r="472" s="30" customFormat="1" x14ac:dyDescent="0.35"/>
    <row r="473" s="30" customFormat="1" x14ac:dyDescent="0.35"/>
    <row r="474" s="30" customFormat="1" x14ac:dyDescent="0.35"/>
    <row r="475" s="30" customFormat="1" x14ac:dyDescent="0.35"/>
    <row r="476" s="30" customFormat="1" x14ac:dyDescent="0.35"/>
    <row r="477" s="30" customFormat="1" x14ac:dyDescent="0.35"/>
    <row r="478" s="30" customFormat="1" x14ac:dyDescent="0.35"/>
    <row r="479" s="30" customFormat="1" x14ac:dyDescent="0.35"/>
    <row r="480" s="30" customFormat="1" x14ac:dyDescent="0.35"/>
    <row r="481" s="30" customFormat="1" x14ac:dyDescent="0.35"/>
    <row r="482" s="30" customFormat="1" x14ac:dyDescent="0.35"/>
    <row r="483" s="30" customFormat="1" x14ac:dyDescent="0.35"/>
    <row r="484" s="30" customFormat="1" x14ac:dyDescent="0.35"/>
    <row r="485" s="30" customFormat="1" x14ac:dyDescent="0.35"/>
    <row r="486" s="30" customFormat="1" x14ac:dyDescent="0.35"/>
    <row r="487" s="30" customFormat="1" x14ac:dyDescent="0.35"/>
    <row r="488" s="30" customFormat="1" x14ac:dyDescent="0.35"/>
    <row r="489" s="30" customFormat="1" x14ac:dyDescent="0.35"/>
    <row r="490" s="30" customFormat="1" x14ac:dyDescent="0.35"/>
    <row r="491" s="30" customFormat="1" x14ac:dyDescent="0.35"/>
    <row r="492" s="30" customFormat="1" x14ac:dyDescent="0.35"/>
    <row r="493" s="30" customFormat="1" x14ac:dyDescent="0.35"/>
    <row r="494" s="30" customFormat="1" x14ac:dyDescent="0.35"/>
    <row r="495" s="30" customFormat="1" x14ac:dyDescent="0.35"/>
    <row r="496" s="30" customFormat="1" x14ac:dyDescent="0.35"/>
    <row r="497" s="30" customFormat="1" x14ac:dyDescent="0.35"/>
    <row r="498" s="30" customFormat="1" x14ac:dyDescent="0.35"/>
    <row r="499" s="30" customFormat="1" x14ac:dyDescent="0.35"/>
    <row r="500" s="30" customFormat="1" x14ac:dyDescent="0.35"/>
    <row r="501" s="30" customFormat="1" x14ac:dyDescent="0.35"/>
    <row r="502" s="30" customFormat="1" x14ac:dyDescent="0.35"/>
    <row r="503" s="30" customFormat="1" x14ac:dyDescent="0.35"/>
    <row r="504" s="30" customFormat="1" x14ac:dyDescent="0.35"/>
    <row r="505" s="30" customFormat="1" x14ac:dyDescent="0.35"/>
    <row r="506" s="30" customFormat="1" x14ac:dyDescent="0.35"/>
    <row r="507" s="30" customFormat="1" x14ac:dyDescent="0.35"/>
    <row r="508" s="30" customFormat="1" x14ac:dyDescent="0.35"/>
    <row r="509" s="30" customFormat="1" x14ac:dyDescent="0.35"/>
    <row r="510" s="30" customFormat="1" x14ac:dyDescent="0.35"/>
    <row r="511" s="30" customFormat="1" x14ac:dyDescent="0.35"/>
    <row r="512" s="30" customFormat="1" x14ac:dyDescent="0.35"/>
    <row r="513" s="30" customFormat="1" x14ac:dyDescent="0.35"/>
    <row r="514" s="30" customFormat="1" x14ac:dyDescent="0.35"/>
    <row r="515" s="30" customFormat="1" x14ac:dyDescent="0.35"/>
    <row r="516" s="30" customFormat="1" x14ac:dyDescent="0.35"/>
    <row r="517" s="30" customFormat="1" x14ac:dyDescent="0.35"/>
    <row r="518" s="30" customFormat="1" x14ac:dyDescent="0.35"/>
    <row r="519" s="30" customFormat="1" x14ac:dyDescent="0.35"/>
    <row r="520" s="30" customFormat="1" x14ac:dyDescent="0.35"/>
    <row r="521" s="30" customFormat="1" x14ac:dyDescent="0.35"/>
    <row r="522" s="30" customFormat="1" x14ac:dyDescent="0.35"/>
    <row r="523" s="30" customFormat="1" x14ac:dyDescent="0.35"/>
    <row r="524" s="30" customFormat="1" x14ac:dyDescent="0.35"/>
    <row r="525" s="30" customFormat="1" x14ac:dyDescent="0.35"/>
    <row r="526" s="30" customFormat="1" x14ac:dyDescent="0.35"/>
    <row r="527" s="30" customFormat="1" x14ac:dyDescent="0.35"/>
    <row r="528" s="30" customFormat="1" x14ac:dyDescent="0.35"/>
    <row r="529" s="30" customFormat="1" x14ac:dyDescent="0.35"/>
    <row r="530" s="30" customFormat="1" x14ac:dyDescent="0.35"/>
    <row r="531" s="30" customFormat="1" x14ac:dyDescent="0.35"/>
    <row r="532" s="30" customFormat="1" x14ac:dyDescent="0.35"/>
    <row r="533" s="30" customFormat="1" x14ac:dyDescent="0.35"/>
    <row r="534" s="30" customFormat="1" x14ac:dyDescent="0.35"/>
    <row r="535" s="30" customFormat="1" x14ac:dyDescent="0.35"/>
    <row r="536" s="30" customFormat="1" x14ac:dyDescent="0.35"/>
    <row r="537" s="30" customFormat="1" x14ac:dyDescent="0.35"/>
    <row r="538" s="30" customFormat="1" x14ac:dyDescent="0.35"/>
    <row r="539" s="30" customFormat="1" x14ac:dyDescent="0.35"/>
    <row r="540" s="30" customFormat="1" x14ac:dyDescent="0.35"/>
    <row r="541" s="30" customFormat="1" x14ac:dyDescent="0.35"/>
    <row r="542" s="30" customFormat="1" x14ac:dyDescent="0.35"/>
    <row r="543" s="30" customFormat="1" x14ac:dyDescent="0.35"/>
    <row r="544" s="30" customFormat="1" x14ac:dyDescent="0.35"/>
    <row r="545" s="30" customFormat="1" x14ac:dyDescent="0.35"/>
    <row r="546" s="30" customFormat="1" x14ac:dyDescent="0.35"/>
    <row r="547" s="30" customFormat="1" x14ac:dyDescent="0.35"/>
    <row r="548" s="30" customFormat="1" x14ac:dyDescent="0.35"/>
    <row r="549" s="30" customFormat="1" x14ac:dyDescent="0.35"/>
    <row r="550" s="30" customFormat="1" x14ac:dyDescent="0.35"/>
    <row r="551" s="30" customFormat="1" x14ac:dyDescent="0.35"/>
    <row r="552" s="30" customFormat="1" x14ac:dyDescent="0.35"/>
    <row r="553" s="30" customFormat="1" x14ac:dyDescent="0.35"/>
    <row r="554" s="30" customFormat="1" x14ac:dyDescent="0.35"/>
    <row r="555" s="30" customFormat="1" x14ac:dyDescent="0.35"/>
    <row r="556" s="30" customFormat="1" x14ac:dyDescent="0.35"/>
    <row r="557" s="30" customFormat="1" x14ac:dyDescent="0.35"/>
    <row r="558" s="30" customFormat="1" x14ac:dyDescent="0.35"/>
    <row r="559" s="30" customFormat="1" x14ac:dyDescent="0.35"/>
    <row r="560" s="30" customFormat="1" x14ac:dyDescent="0.35"/>
    <row r="561" s="30" customFormat="1" x14ac:dyDescent="0.35"/>
    <row r="562" s="30" customFormat="1" x14ac:dyDescent="0.35"/>
    <row r="563" s="30" customFormat="1" x14ac:dyDescent="0.35"/>
    <row r="564" s="30" customFormat="1" x14ac:dyDescent="0.35"/>
    <row r="565" s="30" customFormat="1" x14ac:dyDescent="0.35"/>
    <row r="566" s="30" customFormat="1" x14ac:dyDescent="0.35"/>
    <row r="567" s="30" customFormat="1" x14ac:dyDescent="0.35"/>
    <row r="568" s="30" customFormat="1" x14ac:dyDescent="0.35"/>
    <row r="569" s="30" customFormat="1" x14ac:dyDescent="0.35"/>
    <row r="570" s="30" customFormat="1" x14ac:dyDescent="0.35"/>
    <row r="571" s="30" customFormat="1" x14ac:dyDescent="0.35"/>
    <row r="572" s="30" customFormat="1" x14ac:dyDescent="0.35"/>
    <row r="573" s="30" customFormat="1" x14ac:dyDescent="0.35"/>
    <row r="574" s="30" customFormat="1" x14ac:dyDescent="0.35"/>
    <row r="575" s="30" customFormat="1" x14ac:dyDescent="0.35"/>
    <row r="576" s="30" customFormat="1" x14ac:dyDescent="0.35"/>
    <row r="577" s="30" customFormat="1" x14ac:dyDescent="0.35"/>
    <row r="578" s="30" customFormat="1" x14ac:dyDescent="0.35"/>
    <row r="579" s="30" customFormat="1" x14ac:dyDescent="0.35"/>
    <row r="580" s="30" customFormat="1" x14ac:dyDescent="0.35"/>
    <row r="581" s="30" customFormat="1" x14ac:dyDescent="0.35"/>
    <row r="582" s="30" customFormat="1" x14ac:dyDescent="0.35"/>
    <row r="583" s="30" customFormat="1" x14ac:dyDescent="0.35"/>
    <row r="584" s="30" customFormat="1" x14ac:dyDescent="0.35"/>
    <row r="585" s="30" customFormat="1" x14ac:dyDescent="0.35"/>
    <row r="586" s="30" customFormat="1" x14ac:dyDescent="0.35"/>
    <row r="587" s="30" customFormat="1" x14ac:dyDescent="0.35"/>
    <row r="588" s="30" customFormat="1" x14ac:dyDescent="0.35"/>
    <row r="589" s="30" customFormat="1" x14ac:dyDescent="0.35"/>
    <row r="590" s="30" customFormat="1" x14ac:dyDescent="0.35"/>
    <row r="591" s="30" customFormat="1" x14ac:dyDescent="0.35"/>
    <row r="592" s="30" customFormat="1" x14ac:dyDescent="0.35"/>
    <row r="593" s="30" customFormat="1" x14ac:dyDescent="0.35"/>
    <row r="594" s="30" customFormat="1" x14ac:dyDescent="0.35"/>
    <row r="595" s="30" customFormat="1" x14ac:dyDescent="0.35"/>
    <row r="596" s="30" customFormat="1" x14ac:dyDescent="0.35"/>
    <row r="597" s="30" customFormat="1" x14ac:dyDescent="0.35"/>
    <row r="598" s="30" customFormat="1" x14ac:dyDescent="0.35"/>
    <row r="599" s="30" customFormat="1" x14ac:dyDescent="0.35"/>
    <row r="600" s="30" customFormat="1" x14ac:dyDescent="0.35"/>
    <row r="601" s="30" customFormat="1" x14ac:dyDescent="0.35"/>
    <row r="602" s="30" customFormat="1" x14ac:dyDescent="0.35"/>
    <row r="603" s="30" customFormat="1" x14ac:dyDescent="0.35"/>
    <row r="604" s="30" customFormat="1" x14ac:dyDescent="0.35"/>
    <row r="605" s="30" customFormat="1" x14ac:dyDescent="0.35"/>
    <row r="606" s="30" customFormat="1" x14ac:dyDescent="0.35"/>
    <row r="607" s="30" customFormat="1" x14ac:dyDescent="0.35"/>
    <row r="608" s="30" customFormat="1" x14ac:dyDescent="0.35"/>
    <row r="609" s="30" customFormat="1" x14ac:dyDescent="0.35"/>
    <row r="610" s="30" customFormat="1" x14ac:dyDescent="0.35"/>
    <row r="611" s="30" customFormat="1" x14ac:dyDescent="0.35"/>
    <row r="612" s="30" customFormat="1" x14ac:dyDescent="0.35"/>
    <row r="613" s="30" customFormat="1" x14ac:dyDescent="0.35"/>
    <row r="614" s="30" customFormat="1" x14ac:dyDescent="0.35"/>
    <row r="615" s="30" customFormat="1" x14ac:dyDescent="0.35"/>
    <row r="616" s="30" customFormat="1" x14ac:dyDescent="0.35"/>
    <row r="617" s="30" customFormat="1" x14ac:dyDescent="0.35"/>
    <row r="618" s="30" customFormat="1" x14ac:dyDescent="0.35"/>
    <row r="619" s="30" customFormat="1" x14ac:dyDescent="0.35"/>
    <row r="620" s="30" customFormat="1" x14ac:dyDescent="0.35"/>
    <row r="621" s="30" customFormat="1" x14ac:dyDescent="0.35"/>
    <row r="622" s="30" customFormat="1" x14ac:dyDescent="0.35"/>
    <row r="623" s="30" customFormat="1" x14ac:dyDescent="0.35"/>
    <row r="624" s="30" customFormat="1" x14ac:dyDescent="0.35"/>
    <row r="625" s="30" customFormat="1" x14ac:dyDescent="0.35"/>
    <row r="626" s="30" customFormat="1" x14ac:dyDescent="0.35"/>
    <row r="627" s="30" customFormat="1" x14ac:dyDescent="0.35"/>
    <row r="628" s="30" customFormat="1" x14ac:dyDescent="0.35"/>
    <row r="629" s="30" customFormat="1" x14ac:dyDescent="0.35"/>
    <row r="630" s="30" customFormat="1" x14ac:dyDescent="0.35"/>
    <row r="631" s="30" customFormat="1" x14ac:dyDescent="0.35"/>
    <row r="632" s="30" customFormat="1" x14ac:dyDescent="0.35"/>
    <row r="633" s="30" customFormat="1" x14ac:dyDescent="0.35"/>
    <row r="634" s="30" customFormat="1" x14ac:dyDescent="0.35"/>
    <row r="635" s="30" customFormat="1" x14ac:dyDescent="0.35"/>
    <row r="636" s="30" customFormat="1" x14ac:dyDescent="0.35"/>
    <row r="637" s="30" customFormat="1" x14ac:dyDescent="0.35"/>
    <row r="638" s="30" customFormat="1" x14ac:dyDescent="0.35"/>
    <row r="639" s="30" customFormat="1" x14ac:dyDescent="0.35"/>
    <row r="640" s="30" customFormat="1" x14ac:dyDescent="0.35"/>
    <row r="641" s="30" customFormat="1" x14ac:dyDescent="0.35"/>
    <row r="642" s="30" customFormat="1" x14ac:dyDescent="0.35"/>
    <row r="643" s="30" customFormat="1" x14ac:dyDescent="0.35"/>
    <row r="644" s="30" customFormat="1" x14ac:dyDescent="0.35"/>
    <row r="645" s="30" customFormat="1" x14ac:dyDescent="0.35"/>
    <row r="646" s="30" customFormat="1" x14ac:dyDescent="0.35"/>
    <row r="647" s="30" customFormat="1" x14ac:dyDescent="0.35"/>
    <row r="648" s="30" customFormat="1" x14ac:dyDescent="0.35"/>
    <row r="649" s="30" customFormat="1" x14ac:dyDescent="0.35"/>
    <row r="650" s="30" customFormat="1" x14ac:dyDescent="0.35"/>
    <row r="651" s="30" customFormat="1" x14ac:dyDescent="0.35"/>
    <row r="652" s="30" customFormat="1" x14ac:dyDescent="0.35"/>
    <row r="653" s="30" customFormat="1" x14ac:dyDescent="0.35"/>
    <row r="654" s="30" customFormat="1" x14ac:dyDescent="0.35"/>
    <row r="655" s="30" customFormat="1" x14ac:dyDescent="0.35"/>
    <row r="656" s="30" customFormat="1" x14ac:dyDescent="0.35"/>
    <row r="657" s="30" customFormat="1" x14ac:dyDescent="0.35"/>
    <row r="658" s="30" customFormat="1" x14ac:dyDescent="0.35"/>
    <row r="659" s="30" customFormat="1" x14ac:dyDescent="0.35"/>
    <row r="660" s="30" customFormat="1" x14ac:dyDescent="0.35"/>
    <row r="661" s="30" customFormat="1" x14ac:dyDescent="0.35"/>
    <row r="662" s="30" customFormat="1" x14ac:dyDescent="0.35"/>
    <row r="663" s="30" customFormat="1" x14ac:dyDescent="0.35"/>
    <row r="664" s="30" customFormat="1" x14ac:dyDescent="0.35"/>
    <row r="665" s="30" customFormat="1" x14ac:dyDescent="0.35"/>
    <row r="666" s="30" customFormat="1" x14ac:dyDescent="0.35"/>
    <row r="667" s="30" customFormat="1" x14ac:dyDescent="0.35"/>
    <row r="668" s="30" customFormat="1" x14ac:dyDescent="0.35"/>
    <row r="669" s="30" customFormat="1" x14ac:dyDescent="0.35"/>
    <row r="670" s="30" customFormat="1" x14ac:dyDescent="0.35"/>
    <row r="671" s="30" customFormat="1" x14ac:dyDescent="0.35"/>
    <row r="672" s="30" customFormat="1" x14ac:dyDescent="0.35"/>
    <row r="673" s="30" customFormat="1" x14ac:dyDescent="0.35"/>
    <row r="674" s="30" customFormat="1" x14ac:dyDescent="0.35"/>
    <row r="675" s="30" customFormat="1" x14ac:dyDescent="0.35"/>
    <row r="676" s="30" customFormat="1" x14ac:dyDescent="0.35"/>
    <row r="677" s="30" customFormat="1" x14ac:dyDescent="0.35"/>
    <row r="678" s="30" customFormat="1" x14ac:dyDescent="0.35"/>
    <row r="679" s="30" customFormat="1" x14ac:dyDescent="0.35"/>
    <row r="680" s="30" customFormat="1" x14ac:dyDescent="0.35"/>
    <row r="681" s="30" customFormat="1" x14ac:dyDescent="0.35"/>
    <row r="682" s="30" customFormat="1" x14ac:dyDescent="0.35"/>
    <row r="683" s="30" customFormat="1" x14ac:dyDescent="0.35"/>
    <row r="684" s="30" customFormat="1" x14ac:dyDescent="0.35"/>
    <row r="685" s="30" customFormat="1" x14ac:dyDescent="0.35"/>
    <row r="686" s="30" customFormat="1" x14ac:dyDescent="0.35"/>
    <row r="687" s="30" customFormat="1" x14ac:dyDescent="0.35"/>
    <row r="688" s="30" customFormat="1" x14ac:dyDescent="0.35"/>
    <row r="689" s="30" customFormat="1" x14ac:dyDescent="0.35"/>
    <row r="690" s="30" customFormat="1" x14ac:dyDescent="0.35"/>
    <row r="691" s="30" customFormat="1" x14ac:dyDescent="0.35"/>
    <row r="692" s="30" customFormat="1" x14ac:dyDescent="0.35"/>
    <row r="693" s="30" customFormat="1" x14ac:dyDescent="0.35"/>
    <row r="694" s="30" customFormat="1" x14ac:dyDescent="0.35"/>
    <row r="695" s="30" customFormat="1" x14ac:dyDescent="0.35"/>
    <row r="696" s="30" customFormat="1" x14ac:dyDescent="0.35"/>
    <row r="697" s="30" customFormat="1" x14ac:dyDescent="0.35"/>
    <row r="698" s="30" customFormat="1" x14ac:dyDescent="0.35"/>
    <row r="699" s="30" customFormat="1" x14ac:dyDescent="0.35"/>
    <row r="700" s="30" customFormat="1" x14ac:dyDescent="0.35"/>
    <row r="701" s="30" customFormat="1" x14ac:dyDescent="0.35"/>
    <row r="702" s="30" customFormat="1" x14ac:dyDescent="0.35"/>
    <row r="703" s="30" customFormat="1" x14ac:dyDescent="0.35"/>
    <row r="704" s="30" customFormat="1" x14ac:dyDescent="0.35"/>
    <row r="705" s="30" customFormat="1" x14ac:dyDescent="0.35"/>
    <row r="706" s="30" customFormat="1" x14ac:dyDescent="0.35"/>
    <row r="707" s="30" customFormat="1" x14ac:dyDescent="0.35"/>
    <row r="708" s="30" customFormat="1" x14ac:dyDescent="0.35"/>
    <row r="709" s="30" customFormat="1" x14ac:dyDescent="0.35"/>
    <row r="710" s="30" customFormat="1" x14ac:dyDescent="0.35"/>
    <row r="711" s="30" customFormat="1" x14ac:dyDescent="0.35"/>
    <row r="712" s="30" customFormat="1" x14ac:dyDescent="0.35"/>
    <row r="713" s="30" customFormat="1" x14ac:dyDescent="0.35"/>
    <row r="714" s="30" customFormat="1" x14ac:dyDescent="0.35"/>
    <row r="715" s="30" customFormat="1" x14ac:dyDescent="0.35"/>
    <row r="716" s="30" customFormat="1" x14ac:dyDescent="0.35"/>
    <row r="717" s="30" customFormat="1" x14ac:dyDescent="0.35"/>
    <row r="718" s="30" customFormat="1" x14ac:dyDescent="0.35"/>
    <row r="719" s="30" customFormat="1" x14ac:dyDescent="0.35"/>
    <row r="720" s="30" customFormat="1" x14ac:dyDescent="0.35"/>
    <row r="721" s="30" customFormat="1" x14ac:dyDescent="0.35"/>
    <row r="722" s="30" customFormat="1" x14ac:dyDescent="0.35"/>
    <row r="723" s="30" customFormat="1" x14ac:dyDescent="0.35"/>
    <row r="724" s="30" customFormat="1" x14ac:dyDescent="0.35"/>
    <row r="725" s="30" customFormat="1" x14ac:dyDescent="0.35"/>
    <row r="726" s="30" customFormat="1" x14ac:dyDescent="0.35"/>
    <row r="727" s="30" customFormat="1" x14ac:dyDescent="0.35"/>
    <row r="728" s="30" customFormat="1" x14ac:dyDescent="0.35"/>
    <row r="729" s="30" customFormat="1" x14ac:dyDescent="0.35"/>
    <row r="730" s="30" customFormat="1" x14ac:dyDescent="0.35"/>
    <row r="731" s="30" customFormat="1" x14ac:dyDescent="0.35"/>
    <row r="732" s="30" customFormat="1" x14ac:dyDescent="0.35"/>
    <row r="733" s="30" customFormat="1" x14ac:dyDescent="0.35"/>
    <row r="734" s="30" customFormat="1" x14ac:dyDescent="0.35"/>
    <row r="735" s="30" customFormat="1" x14ac:dyDescent="0.35"/>
    <row r="736" s="30" customFormat="1" x14ac:dyDescent="0.35"/>
    <row r="737" s="30" customFormat="1" x14ac:dyDescent="0.35"/>
    <row r="738" s="30" customFormat="1" x14ac:dyDescent="0.35"/>
    <row r="739" s="30" customFormat="1" x14ac:dyDescent="0.35"/>
    <row r="740" s="30" customFormat="1" x14ac:dyDescent="0.35"/>
    <row r="741" s="30" customFormat="1" x14ac:dyDescent="0.35"/>
    <row r="742" s="30" customFormat="1" x14ac:dyDescent="0.35"/>
    <row r="743" s="30" customFormat="1" x14ac:dyDescent="0.35"/>
    <row r="744" s="30" customFormat="1" x14ac:dyDescent="0.35"/>
    <row r="745" s="30" customFormat="1" x14ac:dyDescent="0.35"/>
    <row r="746" s="30" customFormat="1" x14ac:dyDescent="0.35"/>
    <row r="747" s="30" customFormat="1" x14ac:dyDescent="0.35"/>
    <row r="748" s="30" customFormat="1" x14ac:dyDescent="0.35"/>
    <row r="749" s="30" customFormat="1" x14ac:dyDescent="0.35"/>
    <row r="750" s="30" customFormat="1" x14ac:dyDescent="0.35"/>
    <row r="751" s="30" customFormat="1" x14ac:dyDescent="0.35"/>
    <row r="752" s="30" customFormat="1" x14ac:dyDescent="0.35"/>
    <row r="753" s="30" customFormat="1" x14ac:dyDescent="0.35"/>
    <row r="754" s="30" customFormat="1" x14ac:dyDescent="0.35"/>
    <row r="755" s="30" customFormat="1" x14ac:dyDescent="0.35"/>
    <row r="756" s="30" customFormat="1" x14ac:dyDescent="0.35"/>
    <row r="757" s="30" customFormat="1" x14ac:dyDescent="0.35"/>
    <row r="758" s="30" customFormat="1" x14ac:dyDescent="0.35"/>
    <row r="759" s="30" customFormat="1" x14ac:dyDescent="0.35"/>
    <row r="760" s="30" customFormat="1" x14ac:dyDescent="0.35"/>
    <row r="761" s="30" customFormat="1" x14ac:dyDescent="0.35"/>
    <row r="762" s="30" customFormat="1" x14ac:dyDescent="0.35"/>
    <row r="763" s="30" customFormat="1" x14ac:dyDescent="0.35"/>
    <row r="764" s="30" customFormat="1" x14ac:dyDescent="0.35"/>
    <row r="765" s="30" customFormat="1" x14ac:dyDescent="0.35"/>
    <row r="766" s="30" customFormat="1" x14ac:dyDescent="0.35"/>
    <row r="767" s="30" customFormat="1" x14ac:dyDescent="0.35"/>
    <row r="768" s="30" customFormat="1" x14ac:dyDescent="0.35"/>
    <row r="769" s="30" customFormat="1" x14ac:dyDescent="0.35"/>
    <row r="770" s="30" customFormat="1" x14ac:dyDescent="0.35"/>
    <row r="771" s="30" customFormat="1" x14ac:dyDescent="0.35"/>
    <row r="772" s="30" customFormat="1" x14ac:dyDescent="0.35"/>
    <row r="773" s="30" customFormat="1" x14ac:dyDescent="0.35"/>
    <row r="774" s="30" customFormat="1" x14ac:dyDescent="0.35"/>
    <row r="775" s="30" customFormat="1" x14ac:dyDescent="0.35"/>
    <row r="776" s="30" customFormat="1" x14ac:dyDescent="0.35"/>
    <row r="777" s="30" customFormat="1" x14ac:dyDescent="0.35"/>
    <row r="778" s="30" customFormat="1" x14ac:dyDescent="0.35"/>
    <row r="779" s="30" customFormat="1" x14ac:dyDescent="0.35"/>
    <row r="780" s="30" customFormat="1" x14ac:dyDescent="0.35"/>
    <row r="781" s="30" customFormat="1" x14ac:dyDescent="0.35"/>
    <row r="782" s="30" customFormat="1" x14ac:dyDescent="0.35"/>
    <row r="783" s="30" customFormat="1" x14ac:dyDescent="0.35"/>
    <row r="784" s="30" customFormat="1" x14ac:dyDescent="0.35"/>
    <row r="785" s="30" customFormat="1" x14ac:dyDescent="0.35"/>
    <row r="786" s="30" customFormat="1" x14ac:dyDescent="0.35"/>
    <row r="787" s="30" customFormat="1" x14ac:dyDescent="0.35"/>
    <row r="788" s="30" customFormat="1" x14ac:dyDescent="0.35"/>
    <row r="789" s="30" customFormat="1" x14ac:dyDescent="0.35"/>
    <row r="790" s="30" customFormat="1" x14ac:dyDescent="0.35"/>
    <row r="791" s="30" customFormat="1" x14ac:dyDescent="0.35"/>
    <row r="792" s="30" customFormat="1" x14ac:dyDescent="0.35"/>
    <row r="793" s="30" customFormat="1" x14ac:dyDescent="0.35"/>
    <row r="794" s="30" customFormat="1" x14ac:dyDescent="0.35"/>
    <row r="795" s="30" customFormat="1" x14ac:dyDescent="0.35"/>
    <row r="796" s="30" customFormat="1" x14ac:dyDescent="0.35"/>
    <row r="797" s="30" customFormat="1" x14ac:dyDescent="0.35"/>
    <row r="798" s="30" customFormat="1" x14ac:dyDescent="0.35"/>
    <row r="799" s="30" customFormat="1" x14ac:dyDescent="0.35"/>
    <row r="800" s="30" customFormat="1" x14ac:dyDescent="0.35"/>
    <row r="801" s="30" customFormat="1" x14ac:dyDescent="0.35"/>
    <row r="802" s="30" customFormat="1" x14ac:dyDescent="0.35"/>
    <row r="803" s="30" customFormat="1" x14ac:dyDescent="0.35"/>
    <row r="804" s="30" customFormat="1" x14ac:dyDescent="0.35"/>
    <row r="805" s="30" customFormat="1" x14ac:dyDescent="0.35"/>
    <row r="806" s="30" customFormat="1" x14ac:dyDescent="0.35"/>
    <row r="807" s="30" customFormat="1" x14ac:dyDescent="0.35"/>
    <row r="808" s="30" customFormat="1" x14ac:dyDescent="0.35"/>
    <row r="809" s="30" customFormat="1" x14ac:dyDescent="0.35"/>
    <row r="810" s="30" customFormat="1" x14ac:dyDescent="0.35"/>
    <row r="811" s="30" customFormat="1" x14ac:dyDescent="0.35"/>
    <row r="812" s="30" customFormat="1" x14ac:dyDescent="0.35"/>
    <row r="813" s="30" customFormat="1" x14ac:dyDescent="0.35"/>
    <row r="814" s="30" customFormat="1" x14ac:dyDescent="0.35"/>
    <row r="815" s="30" customFormat="1" x14ac:dyDescent="0.35"/>
    <row r="816" s="30" customFormat="1" x14ac:dyDescent="0.35"/>
    <row r="817" s="30" customFormat="1" x14ac:dyDescent="0.35"/>
    <row r="818" s="30" customFormat="1" x14ac:dyDescent="0.35"/>
    <row r="819" s="30" customFormat="1" x14ac:dyDescent="0.35"/>
    <row r="820" s="30" customFormat="1" x14ac:dyDescent="0.35"/>
    <row r="821" s="30" customFormat="1" x14ac:dyDescent="0.35"/>
    <row r="822" s="30" customFormat="1" x14ac:dyDescent="0.35"/>
    <row r="823" s="30" customFormat="1" x14ac:dyDescent="0.35"/>
    <row r="824" s="30" customFormat="1" x14ac:dyDescent="0.35"/>
    <row r="825" s="30" customFormat="1" x14ac:dyDescent="0.35"/>
    <row r="826" s="30" customFormat="1" x14ac:dyDescent="0.35"/>
    <row r="827" s="30" customFormat="1" x14ac:dyDescent="0.35"/>
    <row r="828" s="30" customFormat="1" x14ac:dyDescent="0.35"/>
    <row r="829" s="30" customFormat="1" x14ac:dyDescent="0.35"/>
    <row r="830" s="30" customFormat="1" x14ac:dyDescent="0.35"/>
    <row r="831" s="30" customFormat="1" x14ac:dyDescent="0.35"/>
    <row r="832" s="30" customFormat="1" x14ac:dyDescent="0.35"/>
    <row r="833" s="30" customFormat="1" x14ac:dyDescent="0.35"/>
    <row r="834" s="30" customFormat="1" x14ac:dyDescent="0.35"/>
    <row r="835" s="30" customFormat="1" x14ac:dyDescent="0.35"/>
    <row r="836" s="30" customFormat="1" x14ac:dyDescent="0.35"/>
    <row r="837" s="30" customFormat="1" x14ac:dyDescent="0.35"/>
    <row r="838" s="30" customFormat="1" x14ac:dyDescent="0.35"/>
    <row r="839" s="30" customFormat="1" x14ac:dyDescent="0.35"/>
    <row r="840" s="30" customFormat="1" x14ac:dyDescent="0.35"/>
    <row r="841" s="30" customFormat="1" x14ac:dyDescent="0.35"/>
    <row r="842" s="30" customFormat="1" x14ac:dyDescent="0.35"/>
    <row r="843" s="30" customFormat="1" x14ac:dyDescent="0.35"/>
    <row r="844" s="30" customFormat="1" x14ac:dyDescent="0.35"/>
    <row r="845" s="30" customFormat="1" x14ac:dyDescent="0.35"/>
    <row r="846" s="30" customFormat="1" x14ac:dyDescent="0.35"/>
    <row r="847" s="30" customFormat="1" x14ac:dyDescent="0.35"/>
    <row r="848" s="30" customFormat="1" x14ac:dyDescent="0.35"/>
    <row r="849" s="30" customFormat="1" x14ac:dyDescent="0.35"/>
    <row r="850" s="30" customFormat="1" x14ac:dyDescent="0.35"/>
    <row r="851" s="30" customFormat="1" x14ac:dyDescent="0.35"/>
    <row r="852" s="30" customFormat="1" x14ac:dyDescent="0.35"/>
    <row r="853" s="30" customFormat="1" x14ac:dyDescent="0.35"/>
    <row r="854" s="30" customFormat="1" x14ac:dyDescent="0.35"/>
    <row r="855" s="30" customFormat="1" x14ac:dyDescent="0.35"/>
    <row r="856" s="30" customFormat="1" x14ac:dyDescent="0.35"/>
    <row r="857" s="30" customFormat="1" x14ac:dyDescent="0.35"/>
    <row r="858" s="30" customFormat="1" x14ac:dyDescent="0.35"/>
    <row r="859" s="30" customFormat="1" x14ac:dyDescent="0.35"/>
    <row r="860" s="30" customFormat="1" x14ac:dyDescent="0.35"/>
    <row r="861" s="30" customFormat="1" x14ac:dyDescent="0.35"/>
    <row r="862" s="30" customFormat="1" x14ac:dyDescent="0.35"/>
    <row r="863" s="30" customFormat="1" x14ac:dyDescent="0.35"/>
    <row r="864" s="30" customFormat="1" x14ac:dyDescent="0.35"/>
    <row r="865" s="30" customFormat="1" x14ac:dyDescent="0.35"/>
    <row r="866" s="30" customFormat="1" x14ac:dyDescent="0.35"/>
    <row r="867" s="30" customFormat="1" x14ac:dyDescent="0.35"/>
    <row r="868" s="30" customFormat="1" x14ac:dyDescent="0.35"/>
    <row r="869" s="30" customFormat="1" x14ac:dyDescent="0.35"/>
    <row r="870" s="30" customFormat="1" x14ac:dyDescent="0.35"/>
    <row r="871" s="30" customFormat="1" x14ac:dyDescent="0.35"/>
    <row r="872" s="30" customFormat="1" x14ac:dyDescent="0.35"/>
    <row r="873" s="30" customFormat="1" x14ac:dyDescent="0.35"/>
    <row r="874" s="30" customFormat="1" x14ac:dyDescent="0.35"/>
    <row r="875" s="30" customFormat="1" x14ac:dyDescent="0.35"/>
    <row r="876" s="30" customFormat="1" x14ac:dyDescent="0.35"/>
    <row r="877" s="30" customFormat="1" x14ac:dyDescent="0.35"/>
    <row r="878" s="30" customFormat="1" x14ac:dyDescent="0.35"/>
    <row r="879" s="30" customFormat="1" x14ac:dyDescent="0.35"/>
    <row r="880" s="30" customFormat="1" x14ac:dyDescent="0.35"/>
    <row r="881" s="30" customFormat="1" x14ac:dyDescent="0.35"/>
    <row r="882" s="30" customFormat="1" x14ac:dyDescent="0.35"/>
    <row r="883" s="30" customFormat="1" x14ac:dyDescent="0.35"/>
    <row r="884" s="30" customFormat="1" x14ac:dyDescent="0.35"/>
    <row r="885" s="30" customFormat="1" x14ac:dyDescent="0.35"/>
    <row r="886" s="30" customFormat="1" x14ac:dyDescent="0.35"/>
    <row r="887" s="30" customFormat="1" x14ac:dyDescent="0.35"/>
    <row r="888" s="30" customFormat="1" x14ac:dyDescent="0.35"/>
    <row r="889" s="30" customFormat="1" x14ac:dyDescent="0.35"/>
    <row r="890" s="30" customFormat="1" x14ac:dyDescent="0.35"/>
    <row r="891" s="30" customFormat="1" x14ac:dyDescent="0.35"/>
    <row r="892" s="30" customFormat="1" x14ac:dyDescent="0.35"/>
    <row r="893" s="30" customFormat="1" x14ac:dyDescent="0.35"/>
    <row r="894" s="30" customFormat="1" x14ac:dyDescent="0.35"/>
    <row r="895" s="30" customFormat="1" x14ac:dyDescent="0.35"/>
    <row r="896" s="30" customFormat="1" x14ac:dyDescent="0.35"/>
    <row r="897" s="30" customFormat="1" x14ac:dyDescent="0.35"/>
    <row r="898" s="30" customFormat="1" x14ac:dyDescent="0.35"/>
    <row r="899" s="30" customFormat="1" x14ac:dyDescent="0.35"/>
    <row r="900" s="30" customFormat="1" x14ac:dyDescent="0.35"/>
    <row r="901" s="30" customFormat="1" x14ac:dyDescent="0.35"/>
    <row r="902" s="30" customFormat="1" x14ac:dyDescent="0.35"/>
    <row r="903" s="30" customFormat="1" x14ac:dyDescent="0.35"/>
    <row r="904" s="30" customFormat="1" x14ac:dyDescent="0.35"/>
    <row r="905" s="30" customFormat="1" x14ac:dyDescent="0.35"/>
    <row r="906" s="30" customFormat="1" x14ac:dyDescent="0.35"/>
    <row r="907" s="30" customFormat="1" x14ac:dyDescent="0.35"/>
    <row r="908" s="30" customFormat="1" x14ac:dyDescent="0.35"/>
    <row r="909" s="30" customFormat="1" x14ac:dyDescent="0.35"/>
    <row r="910" s="30" customFormat="1" x14ac:dyDescent="0.35"/>
    <row r="911" s="30" customFormat="1" x14ac:dyDescent="0.35"/>
    <row r="912" s="30" customFormat="1" x14ac:dyDescent="0.35"/>
    <row r="913" s="30" customFormat="1" x14ac:dyDescent="0.35"/>
    <row r="914" s="30" customFormat="1" x14ac:dyDescent="0.35"/>
    <row r="915" s="30" customFormat="1" x14ac:dyDescent="0.35"/>
    <row r="916" s="30" customFormat="1" x14ac:dyDescent="0.35"/>
    <row r="917" s="30" customFormat="1" x14ac:dyDescent="0.35"/>
    <row r="918" s="30" customFormat="1" x14ac:dyDescent="0.35"/>
    <row r="919" s="30" customFormat="1" x14ac:dyDescent="0.35"/>
    <row r="920" s="30" customFormat="1" x14ac:dyDescent="0.35"/>
    <row r="921" s="30" customFormat="1" x14ac:dyDescent="0.35"/>
    <row r="922" s="30" customFormat="1" x14ac:dyDescent="0.35"/>
    <row r="923" s="30" customFormat="1" x14ac:dyDescent="0.35"/>
    <row r="924" s="30" customFormat="1" x14ac:dyDescent="0.35"/>
    <row r="925" s="30" customFormat="1" x14ac:dyDescent="0.35"/>
    <row r="926" s="30" customFormat="1" x14ac:dyDescent="0.35"/>
    <row r="927" s="30" customFormat="1" x14ac:dyDescent="0.35"/>
    <row r="928" s="30" customFormat="1" x14ac:dyDescent="0.35"/>
    <row r="929" s="30" customFormat="1" x14ac:dyDescent="0.35"/>
    <row r="930" s="30" customFormat="1" x14ac:dyDescent="0.35"/>
    <row r="931" s="30" customFormat="1" x14ac:dyDescent="0.35"/>
    <row r="932" s="30" customFormat="1" x14ac:dyDescent="0.35"/>
    <row r="933" s="30" customFormat="1" x14ac:dyDescent="0.35"/>
    <row r="934" s="30" customFormat="1" x14ac:dyDescent="0.35"/>
    <row r="935" s="30" customFormat="1" x14ac:dyDescent="0.35"/>
    <row r="936" s="30" customFormat="1" x14ac:dyDescent="0.35"/>
    <row r="937" s="30" customFormat="1" x14ac:dyDescent="0.35"/>
    <row r="938" s="30" customFormat="1" x14ac:dyDescent="0.35"/>
    <row r="939" s="30" customFormat="1" x14ac:dyDescent="0.35"/>
    <row r="940" s="30" customFormat="1" x14ac:dyDescent="0.35"/>
    <row r="941" s="30" customFormat="1" x14ac:dyDescent="0.35"/>
    <row r="942" s="30" customFormat="1" x14ac:dyDescent="0.35"/>
    <row r="943" s="30" customFormat="1" x14ac:dyDescent="0.35"/>
    <row r="944" s="30" customFormat="1" x14ac:dyDescent="0.35"/>
    <row r="945" s="30" customFormat="1" x14ac:dyDescent="0.35"/>
    <row r="946" s="30" customFormat="1" x14ac:dyDescent="0.35"/>
    <row r="947" s="30" customFormat="1" x14ac:dyDescent="0.35"/>
    <row r="948" s="30" customFormat="1" x14ac:dyDescent="0.35"/>
    <row r="949" s="30" customFormat="1" x14ac:dyDescent="0.35"/>
    <row r="950" s="30" customFormat="1" x14ac:dyDescent="0.35"/>
    <row r="951" s="30" customFormat="1" x14ac:dyDescent="0.35"/>
    <row r="952" s="30" customFormat="1" x14ac:dyDescent="0.35"/>
    <row r="953" s="30" customFormat="1" x14ac:dyDescent="0.35"/>
    <row r="954" s="30" customFormat="1" x14ac:dyDescent="0.35"/>
    <row r="955" s="30" customFormat="1" x14ac:dyDescent="0.35"/>
    <row r="956" s="30" customFormat="1" x14ac:dyDescent="0.35"/>
    <row r="957" s="30" customFormat="1" x14ac:dyDescent="0.35"/>
    <row r="958" s="30" customFormat="1" x14ac:dyDescent="0.35"/>
    <row r="959" s="30" customFormat="1" x14ac:dyDescent="0.35"/>
    <row r="960" s="30" customFormat="1" x14ac:dyDescent="0.35"/>
    <row r="961" s="30" customFormat="1" x14ac:dyDescent="0.35"/>
    <row r="962" s="30" customFormat="1" x14ac:dyDescent="0.35"/>
    <row r="963" s="30" customFormat="1" x14ac:dyDescent="0.35"/>
    <row r="964" s="30" customFormat="1" x14ac:dyDescent="0.35"/>
    <row r="965" s="30" customFormat="1" x14ac:dyDescent="0.35"/>
    <row r="966" s="30" customFormat="1" x14ac:dyDescent="0.35"/>
    <row r="967" s="30" customFormat="1" x14ac:dyDescent="0.35"/>
    <row r="968" s="30" customFormat="1" x14ac:dyDescent="0.35"/>
    <row r="969" s="30" customFormat="1" x14ac:dyDescent="0.35"/>
    <row r="970" s="30" customFormat="1" x14ac:dyDescent="0.35"/>
    <row r="971" s="30" customFormat="1" x14ac:dyDescent="0.35"/>
    <row r="972" s="30" customFormat="1" x14ac:dyDescent="0.35"/>
    <row r="973" s="30" customFormat="1" x14ac:dyDescent="0.35"/>
    <row r="974" s="30" customFormat="1" x14ac:dyDescent="0.35"/>
    <row r="975" s="30" customFormat="1" x14ac:dyDescent="0.35"/>
    <row r="976" s="30" customFormat="1" x14ac:dyDescent="0.35"/>
    <row r="977" s="30" customFormat="1" x14ac:dyDescent="0.35"/>
    <row r="978" s="30" customFormat="1" x14ac:dyDescent="0.35"/>
    <row r="979" s="30" customFormat="1" x14ac:dyDescent="0.35"/>
    <row r="980" s="30" customFormat="1" x14ac:dyDescent="0.35"/>
    <row r="981" s="30" customFormat="1" x14ac:dyDescent="0.35"/>
    <row r="982" s="30" customFormat="1" x14ac:dyDescent="0.35"/>
  </sheetData>
  <mergeCells count="11">
    <mergeCell ref="B6:B10"/>
    <mergeCell ref="B12:C12"/>
    <mergeCell ref="B13:C13"/>
    <mergeCell ref="B14:C15"/>
    <mergeCell ref="D14:D15"/>
    <mergeCell ref="B18:C21"/>
    <mergeCell ref="D23:E23"/>
    <mergeCell ref="D21:E21"/>
    <mergeCell ref="D20:E20"/>
    <mergeCell ref="D19:E19"/>
    <mergeCell ref="D18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baseColWidth="10" defaultColWidth="14.453125" defaultRowHeight="14.5" x14ac:dyDescent="0.35"/>
  <sheetData>
    <row r="1" spans="1:8" x14ac:dyDescent="0.35">
      <c r="A1" s="10" t="s">
        <v>23</v>
      </c>
      <c r="B1" s="10" t="s">
        <v>24</v>
      </c>
    </row>
    <row r="2" spans="1:8" x14ac:dyDescent="0.35">
      <c r="A2" s="10" t="s">
        <v>25</v>
      </c>
      <c r="B2" s="10" t="s">
        <v>26</v>
      </c>
    </row>
    <row r="3" spans="1:8" x14ac:dyDescent="0.35">
      <c r="A3" s="10" t="s">
        <v>27</v>
      </c>
      <c r="B3" s="10" t="s">
        <v>28</v>
      </c>
    </row>
    <row r="9" spans="1:8" x14ac:dyDescent="0.35">
      <c r="F9" s="10"/>
      <c r="H9" s="10"/>
    </row>
    <row r="10" spans="1:8" x14ac:dyDescent="0.35">
      <c r="F10" s="10"/>
      <c r="H10" s="10"/>
    </row>
    <row r="11" spans="1:8" x14ac:dyDescent="0.35">
      <c r="F11" s="10"/>
      <c r="H11" s="10"/>
    </row>
    <row r="12" spans="1:8" x14ac:dyDescent="0.35">
      <c r="F12" s="10"/>
      <c r="H12" s="10"/>
    </row>
    <row r="13" spans="1:8" x14ac:dyDescent="0.35">
      <c r="F13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zoomScale="126" workbookViewId="0">
      <selection activeCell="E10" sqref="E10"/>
    </sheetView>
  </sheetViews>
  <sheetFormatPr baseColWidth="10" defaultColWidth="14.453125" defaultRowHeight="14.5" x14ac:dyDescent="0.35"/>
  <cols>
    <col min="1" max="1" width="11.6328125" style="37" bestFit="1" customWidth="1"/>
    <col min="2" max="2" width="11.81640625" style="37" bestFit="1" customWidth="1"/>
    <col min="3" max="3" width="6.08984375" style="37" bestFit="1" customWidth="1"/>
    <col min="4" max="4" width="3.453125" style="37" bestFit="1" customWidth="1"/>
    <col min="5" max="6" width="10.7265625" style="37" customWidth="1"/>
    <col min="7" max="16384" width="14.453125" style="37"/>
  </cols>
  <sheetData>
    <row r="1" spans="1:4" x14ac:dyDescent="0.35">
      <c r="A1" s="36" t="s">
        <v>23</v>
      </c>
      <c r="B1" s="36" t="s">
        <v>15</v>
      </c>
      <c r="C1" s="36" t="s">
        <v>29</v>
      </c>
      <c r="D1" s="36" t="s">
        <v>30</v>
      </c>
    </row>
    <row r="2" spans="1:4" x14ac:dyDescent="0.35">
      <c r="A2" s="36" t="s">
        <v>25</v>
      </c>
      <c r="B2" s="36" t="s">
        <v>16</v>
      </c>
      <c r="C2" s="36" t="s">
        <v>31</v>
      </c>
      <c r="D2" s="36" t="s">
        <v>32</v>
      </c>
    </row>
    <row r="3" spans="1:4" x14ac:dyDescent="0.35">
      <c r="A3" s="36" t="s">
        <v>33</v>
      </c>
      <c r="B3" s="36" t="s">
        <v>17</v>
      </c>
      <c r="C3" s="36" t="s">
        <v>34</v>
      </c>
    </row>
    <row r="4" spans="1:4" x14ac:dyDescent="0.35">
      <c r="A4" s="36" t="s">
        <v>35</v>
      </c>
      <c r="B4" s="36" t="s">
        <v>18</v>
      </c>
    </row>
    <row r="5" spans="1:4" x14ac:dyDescent="0.35">
      <c r="A5" s="36" t="s">
        <v>36</v>
      </c>
      <c r="B5" s="36" t="s">
        <v>19</v>
      </c>
    </row>
    <row r="6" spans="1:4" x14ac:dyDescent="0.35">
      <c r="A6" s="36" t="s">
        <v>37</v>
      </c>
    </row>
    <row r="7" spans="1:4" x14ac:dyDescent="0.35">
      <c r="A7" s="36" t="s">
        <v>38</v>
      </c>
    </row>
    <row r="8" spans="1:4" x14ac:dyDescent="0.35">
      <c r="A8" s="36" t="s">
        <v>39</v>
      </c>
    </row>
    <row r="17" s="37" customFormat="1" x14ac:dyDescent="0.35"/>
    <row r="18" s="37" customFormat="1" x14ac:dyDescent="0.35"/>
    <row r="19" s="37" customFormat="1" x14ac:dyDescent="0.35"/>
    <row r="20" s="37" customFormat="1" x14ac:dyDescent="0.35"/>
    <row r="21" s="37" customFormat="1" x14ac:dyDescent="0.35"/>
    <row r="22" s="37" customFormat="1" x14ac:dyDescent="0.35"/>
    <row r="23" s="37" customFormat="1" x14ac:dyDescent="0.35"/>
    <row r="24" s="37" customFormat="1" x14ac:dyDescent="0.35"/>
    <row r="25" s="37" customFormat="1" x14ac:dyDescent="0.35"/>
    <row r="26" s="37" customFormat="1" x14ac:dyDescent="0.35"/>
    <row r="27" s="37" customFormat="1" x14ac:dyDescent="0.35"/>
    <row r="28" s="37" customFormat="1" x14ac:dyDescent="0.35"/>
    <row r="29" s="37" customFormat="1" x14ac:dyDescent="0.35"/>
    <row r="30" s="37" customFormat="1" x14ac:dyDescent="0.35"/>
    <row r="31" s="37" customFormat="1" x14ac:dyDescent="0.35"/>
    <row r="32" s="37" customFormat="1" x14ac:dyDescent="0.35"/>
    <row r="33" s="37" customFormat="1" x14ac:dyDescent="0.35"/>
    <row r="34" s="37" customFormat="1" x14ac:dyDescent="0.35"/>
    <row r="35" s="37" customFormat="1" x14ac:dyDescent="0.35"/>
    <row r="36" s="37" customFormat="1" x14ac:dyDescent="0.35"/>
    <row r="37" s="37" customFormat="1" x14ac:dyDescent="0.35"/>
    <row r="38" s="37" customFormat="1" x14ac:dyDescent="0.35"/>
    <row r="39" s="37" customFormat="1" x14ac:dyDescent="0.35"/>
    <row r="40" s="37" customFormat="1" x14ac:dyDescent="0.35"/>
    <row r="41" s="37" customFormat="1" x14ac:dyDescent="0.35"/>
    <row r="42" s="37" customFormat="1" x14ac:dyDescent="0.35"/>
    <row r="43" s="37" customFormat="1" x14ac:dyDescent="0.35"/>
    <row r="44" s="37" customFormat="1" x14ac:dyDescent="0.35"/>
    <row r="45" s="37" customFormat="1" x14ac:dyDescent="0.35"/>
    <row r="46" s="37" customFormat="1" x14ac:dyDescent="0.35"/>
    <row r="47" s="37" customFormat="1" x14ac:dyDescent="0.35"/>
    <row r="48" s="37" customFormat="1" x14ac:dyDescent="0.35"/>
    <row r="49" s="37" customFormat="1" x14ac:dyDescent="0.35"/>
    <row r="50" s="37" customFormat="1" x14ac:dyDescent="0.35"/>
    <row r="51" s="37" customFormat="1" x14ac:dyDescent="0.35"/>
    <row r="52" s="37" customFormat="1" x14ac:dyDescent="0.35"/>
    <row r="53" s="37" customFormat="1" x14ac:dyDescent="0.35"/>
    <row r="54" s="37" customFormat="1" x14ac:dyDescent="0.35"/>
    <row r="55" s="37" customFormat="1" x14ac:dyDescent="0.35"/>
    <row r="56" s="37" customFormat="1" x14ac:dyDescent="0.35"/>
    <row r="57" s="37" customFormat="1" x14ac:dyDescent="0.35"/>
    <row r="58" s="37" customFormat="1" x14ac:dyDescent="0.35"/>
    <row r="59" s="37" customFormat="1" x14ac:dyDescent="0.35"/>
    <row r="60" s="37" customFormat="1" x14ac:dyDescent="0.35"/>
    <row r="61" s="37" customFormat="1" x14ac:dyDescent="0.35"/>
    <row r="62" s="37" customFormat="1" x14ac:dyDescent="0.35"/>
    <row r="63" s="37" customFormat="1" x14ac:dyDescent="0.35"/>
    <row r="64" s="37" customFormat="1" x14ac:dyDescent="0.35"/>
    <row r="65" s="37" customFormat="1" x14ac:dyDescent="0.35"/>
    <row r="66" s="37" customFormat="1" x14ac:dyDescent="0.35"/>
    <row r="67" s="37" customFormat="1" x14ac:dyDescent="0.35"/>
    <row r="68" s="37" customFormat="1" x14ac:dyDescent="0.35"/>
    <row r="69" s="37" customFormat="1" x14ac:dyDescent="0.35"/>
    <row r="70" s="37" customFormat="1" x14ac:dyDescent="0.35"/>
    <row r="71" s="37" customFormat="1" x14ac:dyDescent="0.35"/>
    <row r="72" s="37" customFormat="1" x14ac:dyDescent="0.35"/>
    <row r="73" s="37" customFormat="1" x14ac:dyDescent="0.35"/>
    <row r="74" s="37" customFormat="1" x14ac:dyDescent="0.35"/>
    <row r="75" s="37" customFormat="1" x14ac:dyDescent="0.35"/>
    <row r="76" s="37" customFormat="1" x14ac:dyDescent="0.35"/>
    <row r="77" s="37" customFormat="1" x14ac:dyDescent="0.35"/>
    <row r="78" s="37" customFormat="1" x14ac:dyDescent="0.35"/>
    <row r="79" s="37" customFormat="1" x14ac:dyDescent="0.35"/>
    <row r="80" s="37" customFormat="1" x14ac:dyDescent="0.35"/>
    <row r="81" s="37" customFormat="1" x14ac:dyDescent="0.35"/>
    <row r="82" s="37" customFormat="1" x14ac:dyDescent="0.35"/>
    <row r="83" s="37" customFormat="1" x14ac:dyDescent="0.35"/>
    <row r="84" s="37" customFormat="1" x14ac:dyDescent="0.35"/>
    <row r="85" s="37" customFormat="1" x14ac:dyDescent="0.35"/>
    <row r="86" s="37" customFormat="1" x14ac:dyDescent="0.35"/>
    <row r="87" s="37" customFormat="1" x14ac:dyDescent="0.35"/>
    <row r="88" s="37" customFormat="1" x14ac:dyDescent="0.35"/>
    <row r="89" s="37" customFormat="1" x14ac:dyDescent="0.35"/>
    <row r="90" s="37" customFormat="1" x14ac:dyDescent="0.35"/>
    <row r="91" s="37" customFormat="1" x14ac:dyDescent="0.35"/>
    <row r="92" s="37" customFormat="1" x14ac:dyDescent="0.35"/>
    <row r="93" s="37" customFormat="1" x14ac:dyDescent="0.35"/>
    <row r="94" s="37" customFormat="1" x14ac:dyDescent="0.35"/>
    <row r="95" s="37" customFormat="1" x14ac:dyDescent="0.35"/>
    <row r="96" s="37" customFormat="1" x14ac:dyDescent="0.35"/>
    <row r="97" s="37" customFormat="1" x14ac:dyDescent="0.35"/>
    <row r="98" s="37" customFormat="1" x14ac:dyDescent="0.35"/>
    <row r="99" s="37" customFormat="1" x14ac:dyDescent="0.35"/>
    <row r="100" s="37" customFormat="1" x14ac:dyDescent="0.35"/>
    <row r="101" s="37" customFormat="1" x14ac:dyDescent="0.35"/>
    <row r="102" s="37" customFormat="1" x14ac:dyDescent="0.35"/>
    <row r="103" s="37" customFormat="1" x14ac:dyDescent="0.35"/>
    <row r="104" s="37" customFormat="1" x14ac:dyDescent="0.35"/>
    <row r="105" s="37" customFormat="1" x14ac:dyDescent="0.35"/>
    <row r="106" s="37" customFormat="1" x14ac:dyDescent="0.35"/>
    <row r="107" s="37" customFormat="1" x14ac:dyDescent="0.35"/>
    <row r="108" s="37" customFormat="1" x14ac:dyDescent="0.35"/>
    <row r="109" s="37" customFormat="1" x14ac:dyDescent="0.35"/>
    <row r="110" s="37" customFormat="1" x14ac:dyDescent="0.35"/>
    <row r="111" s="37" customFormat="1" x14ac:dyDescent="0.35"/>
    <row r="112" s="37" customFormat="1" x14ac:dyDescent="0.35"/>
    <row r="113" s="37" customFormat="1" x14ac:dyDescent="0.35"/>
    <row r="114" s="37" customFormat="1" x14ac:dyDescent="0.35"/>
    <row r="115" s="37" customFormat="1" x14ac:dyDescent="0.35"/>
    <row r="116" s="37" customFormat="1" x14ac:dyDescent="0.35"/>
    <row r="117" s="37" customFormat="1" x14ac:dyDescent="0.35"/>
    <row r="118" s="37" customFormat="1" x14ac:dyDescent="0.35"/>
    <row r="119" s="37" customFormat="1" x14ac:dyDescent="0.35"/>
    <row r="120" s="37" customFormat="1" x14ac:dyDescent="0.35"/>
    <row r="121" s="37" customFormat="1" x14ac:dyDescent="0.35"/>
    <row r="122" s="37" customFormat="1" x14ac:dyDescent="0.35"/>
    <row r="123" s="37" customFormat="1" x14ac:dyDescent="0.35"/>
    <row r="124" s="37" customFormat="1" x14ac:dyDescent="0.35"/>
    <row r="125" s="37" customFormat="1" x14ac:dyDescent="0.35"/>
    <row r="126" s="37" customFormat="1" x14ac:dyDescent="0.35"/>
    <row r="127" s="37" customFormat="1" x14ac:dyDescent="0.35"/>
    <row r="128" s="37" customFormat="1" x14ac:dyDescent="0.35"/>
    <row r="129" s="37" customFormat="1" x14ac:dyDescent="0.35"/>
    <row r="130" s="37" customFormat="1" x14ac:dyDescent="0.35"/>
    <row r="131" s="37" customFormat="1" x14ac:dyDescent="0.35"/>
    <row r="132" s="37" customFormat="1" x14ac:dyDescent="0.35"/>
    <row r="133" s="37" customFormat="1" x14ac:dyDescent="0.35"/>
    <row r="134" s="37" customFormat="1" x14ac:dyDescent="0.35"/>
    <row r="135" s="37" customFormat="1" x14ac:dyDescent="0.35"/>
    <row r="136" s="37" customFormat="1" x14ac:dyDescent="0.35"/>
    <row r="137" s="37" customFormat="1" x14ac:dyDescent="0.35"/>
    <row r="138" s="37" customFormat="1" x14ac:dyDescent="0.35"/>
    <row r="139" s="37" customFormat="1" x14ac:dyDescent="0.35"/>
    <row r="140" s="37" customFormat="1" x14ac:dyDescent="0.35"/>
    <row r="141" s="37" customFormat="1" x14ac:dyDescent="0.35"/>
    <row r="142" s="37" customFormat="1" x14ac:dyDescent="0.35"/>
    <row r="143" s="37" customFormat="1" x14ac:dyDescent="0.35"/>
    <row r="144" s="37" customFormat="1" x14ac:dyDescent="0.35"/>
    <row r="145" s="37" customFormat="1" x14ac:dyDescent="0.35"/>
    <row r="146" s="37" customFormat="1" x14ac:dyDescent="0.35"/>
    <row r="147" s="37" customFormat="1" x14ac:dyDescent="0.35"/>
    <row r="148" s="37" customFormat="1" x14ac:dyDescent="0.35"/>
    <row r="149" s="37" customFormat="1" x14ac:dyDescent="0.35"/>
    <row r="150" s="37" customFormat="1" x14ac:dyDescent="0.35"/>
    <row r="151" s="37" customFormat="1" x14ac:dyDescent="0.35"/>
    <row r="152" s="37" customFormat="1" x14ac:dyDescent="0.35"/>
    <row r="153" s="37" customFormat="1" x14ac:dyDescent="0.35"/>
    <row r="154" s="37" customFormat="1" x14ac:dyDescent="0.35"/>
    <row r="155" s="37" customFormat="1" x14ac:dyDescent="0.35"/>
    <row r="156" s="37" customFormat="1" x14ac:dyDescent="0.35"/>
    <row r="157" s="37" customFormat="1" x14ac:dyDescent="0.35"/>
    <row r="158" s="37" customFormat="1" x14ac:dyDescent="0.35"/>
    <row r="159" s="37" customFormat="1" x14ac:dyDescent="0.35"/>
    <row r="160" s="37" customFormat="1" x14ac:dyDescent="0.35"/>
    <row r="161" s="37" customFormat="1" x14ac:dyDescent="0.35"/>
    <row r="162" s="37" customFormat="1" x14ac:dyDescent="0.35"/>
    <row r="163" s="37" customFormat="1" x14ac:dyDescent="0.35"/>
    <row r="164" s="37" customFormat="1" x14ac:dyDescent="0.35"/>
    <row r="165" s="37" customFormat="1" x14ac:dyDescent="0.35"/>
    <row r="166" s="37" customFormat="1" x14ac:dyDescent="0.35"/>
    <row r="167" s="37" customFormat="1" x14ac:dyDescent="0.35"/>
    <row r="168" s="37" customFormat="1" x14ac:dyDescent="0.35"/>
    <row r="169" s="37" customFormat="1" x14ac:dyDescent="0.35"/>
    <row r="170" s="37" customFormat="1" x14ac:dyDescent="0.35"/>
    <row r="171" s="37" customFormat="1" x14ac:dyDescent="0.35"/>
    <row r="172" s="37" customFormat="1" x14ac:dyDescent="0.35"/>
    <row r="173" s="37" customFormat="1" x14ac:dyDescent="0.35"/>
    <row r="174" s="37" customFormat="1" x14ac:dyDescent="0.35"/>
    <row r="175" s="37" customFormat="1" x14ac:dyDescent="0.35"/>
    <row r="176" s="37" customFormat="1" x14ac:dyDescent="0.35"/>
    <row r="177" s="37" customFormat="1" x14ac:dyDescent="0.35"/>
    <row r="178" s="37" customFormat="1" x14ac:dyDescent="0.35"/>
    <row r="179" s="37" customFormat="1" x14ac:dyDescent="0.35"/>
    <row r="180" s="37" customFormat="1" x14ac:dyDescent="0.35"/>
    <row r="181" s="37" customFormat="1" x14ac:dyDescent="0.35"/>
    <row r="182" s="37" customFormat="1" x14ac:dyDescent="0.35"/>
    <row r="183" s="37" customFormat="1" x14ac:dyDescent="0.35"/>
    <row r="184" s="37" customFormat="1" x14ac:dyDescent="0.35"/>
    <row r="185" s="37" customFormat="1" x14ac:dyDescent="0.35"/>
    <row r="186" s="37" customFormat="1" x14ac:dyDescent="0.35"/>
    <row r="187" s="37" customFormat="1" x14ac:dyDescent="0.35"/>
    <row r="188" s="37" customFormat="1" x14ac:dyDescent="0.35"/>
    <row r="189" s="37" customFormat="1" x14ac:dyDescent="0.35"/>
    <row r="190" s="37" customFormat="1" x14ac:dyDescent="0.35"/>
    <row r="191" s="37" customFormat="1" x14ac:dyDescent="0.35"/>
    <row r="192" s="37" customFormat="1" x14ac:dyDescent="0.35"/>
    <row r="193" s="37" customFormat="1" x14ac:dyDescent="0.35"/>
    <row r="194" s="37" customFormat="1" x14ac:dyDescent="0.35"/>
    <row r="195" s="37" customFormat="1" x14ac:dyDescent="0.35"/>
    <row r="196" s="37" customFormat="1" x14ac:dyDescent="0.35"/>
    <row r="197" s="37" customFormat="1" x14ac:dyDescent="0.35"/>
    <row r="198" s="37" customFormat="1" x14ac:dyDescent="0.35"/>
    <row r="199" s="37" customFormat="1" x14ac:dyDescent="0.35"/>
    <row r="200" s="37" customFormat="1" x14ac:dyDescent="0.35"/>
    <row r="201" s="37" customFormat="1" x14ac:dyDescent="0.35"/>
    <row r="202" s="37" customFormat="1" x14ac:dyDescent="0.35"/>
    <row r="203" s="37" customFormat="1" x14ac:dyDescent="0.35"/>
    <row r="204" s="37" customFormat="1" x14ac:dyDescent="0.35"/>
    <row r="205" s="37" customFormat="1" x14ac:dyDescent="0.35"/>
    <row r="206" s="37" customFormat="1" x14ac:dyDescent="0.35"/>
    <row r="207" s="37" customFormat="1" x14ac:dyDescent="0.35"/>
    <row r="208" s="37" customFormat="1" x14ac:dyDescent="0.35"/>
    <row r="209" s="37" customFormat="1" x14ac:dyDescent="0.35"/>
    <row r="210" s="37" customFormat="1" x14ac:dyDescent="0.35"/>
    <row r="211" s="37" customFormat="1" x14ac:dyDescent="0.35"/>
    <row r="212" s="37" customFormat="1" x14ac:dyDescent="0.35"/>
    <row r="213" s="37" customFormat="1" x14ac:dyDescent="0.35"/>
    <row r="214" s="37" customFormat="1" x14ac:dyDescent="0.35"/>
    <row r="215" s="37" customFormat="1" x14ac:dyDescent="0.35"/>
    <row r="216" s="37" customFormat="1" x14ac:dyDescent="0.35"/>
    <row r="217" s="37" customFormat="1" x14ac:dyDescent="0.35"/>
    <row r="218" s="37" customFormat="1" x14ac:dyDescent="0.35"/>
    <row r="219" s="37" customFormat="1" x14ac:dyDescent="0.35"/>
    <row r="220" s="37" customFormat="1" x14ac:dyDescent="0.35"/>
    <row r="221" s="37" customFormat="1" x14ac:dyDescent="0.35"/>
    <row r="222" s="37" customFormat="1" x14ac:dyDescent="0.35"/>
    <row r="223" s="37" customFormat="1" x14ac:dyDescent="0.35"/>
    <row r="224" s="37" customFormat="1" x14ac:dyDescent="0.35"/>
    <row r="225" s="37" customFormat="1" x14ac:dyDescent="0.35"/>
    <row r="226" s="37" customFormat="1" x14ac:dyDescent="0.35"/>
    <row r="227" s="37" customFormat="1" x14ac:dyDescent="0.35"/>
    <row r="228" s="37" customFormat="1" x14ac:dyDescent="0.35"/>
    <row r="229" s="37" customFormat="1" x14ac:dyDescent="0.35"/>
    <row r="230" s="37" customFormat="1" x14ac:dyDescent="0.35"/>
    <row r="231" s="37" customFormat="1" x14ac:dyDescent="0.35"/>
    <row r="232" s="37" customFormat="1" x14ac:dyDescent="0.35"/>
    <row r="233" s="37" customFormat="1" x14ac:dyDescent="0.35"/>
    <row r="234" s="37" customFormat="1" x14ac:dyDescent="0.35"/>
    <row r="235" s="37" customFormat="1" x14ac:dyDescent="0.35"/>
    <row r="236" s="37" customFormat="1" x14ac:dyDescent="0.35"/>
    <row r="237" s="37" customFormat="1" x14ac:dyDescent="0.35"/>
    <row r="238" s="37" customFormat="1" x14ac:dyDescent="0.35"/>
    <row r="239" s="37" customFormat="1" x14ac:dyDescent="0.35"/>
    <row r="240" s="37" customFormat="1" x14ac:dyDescent="0.35"/>
    <row r="241" s="37" customFormat="1" x14ac:dyDescent="0.35"/>
    <row r="242" s="37" customFormat="1" x14ac:dyDescent="0.35"/>
    <row r="243" s="37" customFormat="1" x14ac:dyDescent="0.35"/>
    <row r="244" s="37" customFormat="1" x14ac:dyDescent="0.35"/>
    <row r="245" s="37" customFormat="1" x14ac:dyDescent="0.35"/>
    <row r="246" s="37" customFormat="1" x14ac:dyDescent="0.35"/>
    <row r="247" s="37" customFormat="1" x14ac:dyDescent="0.35"/>
    <row r="248" s="37" customFormat="1" x14ac:dyDescent="0.35"/>
    <row r="249" s="37" customFormat="1" x14ac:dyDescent="0.35"/>
    <row r="250" s="37" customFormat="1" x14ac:dyDescent="0.35"/>
    <row r="251" s="37" customFormat="1" x14ac:dyDescent="0.35"/>
    <row r="252" s="37" customFormat="1" x14ac:dyDescent="0.35"/>
    <row r="253" s="37" customFormat="1" x14ac:dyDescent="0.35"/>
    <row r="254" s="37" customFormat="1" x14ac:dyDescent="0.35"/>
    <row r="255" s="37" customFormat="1" x14ac:dyDescent="0.35"/>
    <row r="256" s="37" customFormat="1" x14ac:dyDescent="0.35"/>
    <row r="257" s="37" customFormat="1" x14ac:dyDescent="0.35"/>
    <row r="258" s="37" customFormat="1" x14ac:dyDescent="0.35"/>
    <row r="259" s="37" customFormat="1" x14ac:dyDescent="0.35"/>
    <row r="260" s="37" customFormat="1" x14ac:dyDescent="0.35"/>
    <row r="261" s="37" customFormat="1" x14ac:dyDescent="0.35"/>
    <row r="262" s="37" customFormat="1" x14ac:dyDescent="0.35"/>
    <row r="263" s="37" customFormat="1" x14ac:dyDescent="0.35"/>
    <row r="264" s="37" customFormat="1" x14ac:dyDescent="0.35"/>
    <row r="265" s="37" customFormat="1" x14ac:dyDescent="0.35"/>
    <row r="266" s="37" customFormat="1" x14ac:dyDescent="0.35"/>
    <row r="267" s="37" customFormat="1" x14ac:dyDescent="0.35"/>
    <row r="268" s="37" customFormat="1" x14ac:dyDescent="0.35"/>
    <row r="269" s="37" customFormat="1" x14ac:dyDescent="0.35"/>
    <row r="270" s="37" customFormat="1" x14ac:dyDescent="0.35"/>
    <row r="271" s="37" customFormat="1" x14ac:dyDescent="0.35"/>
    <row r="272" s="37" customFormat="1" x14ac:dyDescent="0.35"/>
    <row r="273" s="37" customFormat="1" x14ac:dyDescent="0.35"/>
    <row r="274" s="37" customFormat="1" x14ac:dyDescent="0.35"/>
    <row r="275" s="37" customFormat="1" x14ac:dyDescent="0.35"/>
    <row r="276" s="37" customFormat="1" x14ac:dyDescent="0.35"/>
    <row r="277" s="37" customFormat="1" x14ac:dyDescent="0.35"/>
    <row r="278" s="37" customFormat="1" x14ac:dyDescent="0.35"/>
    <row r="279" s="37" customFormat="1" x14ac:dyDescent="0.35"/>
    <row r="280" s="37" customFormat="1" x14ac:dyDescent="0.35"/>
    <row r="281" s="37" customFormat="1" x14ac:dyDescent="0.35"/>
    <row r="282" s="37" customFormat="1" x14ac:dyDescent="0.35"/>
    <row r="283" s="37" customFormat="1" x14ac:dyDescent="0.35"/>
    <row r="284" s="37" customFormat="1" x14ac:dyDescent="0.35"/>
    <row r="285" s="37" customFormat="1" x14ac:dyDescent="0.35"/>
    <row r="286" s="37" customFormat="1" x14ac:dyDescent="0.35"/>
    <row r="287" s="37" customFormat="1" x14ac:dyDescent="0.35"/>
    <row r="288" s="37" customFormat="1" x14ac:dyDescent="0.35"/>
    <row r="289" s="37" customFormat="1" x14ac:dyDescent="0.35"/>
    <row r="290" s="37" customFormat="1" x14ac:dyDescent="0.35"/>
    <row r="291" s="37" customFormat="1" x14ac:dyDescent="0.35"/>
    <row r="292" s="37" customFormat="1" x14ac:dyDescent="0.35"/>
    <row r="293" s="37" customFormat="1" x14ac:dyDescent="0.35"/>
    <row r="294" s="37" customFormat="1" x14ac:dyDescent="0.35"/>
    <row r="295" s="37" customFormat="1" x14ac:dyDescent="0.35"/>
    <row r="296" s="37" customFormat="1" x14ac:dyDescent="0.35"/>
    <row r="297" s="37" customFormat="1" x14ac:dyDescent="0.35"/>
    <row r="298" s="37" customFormat="1" x14ac:dyDescent="0.35"/>
    <row r="299" s="37" customFormat="1" x14ac:dyDescent="0.35"/>
    <row r="300" s="37" customFormat="1" x14ac:dyDescent="0.35"/>
    <row r="301" s="37" customFormat="1" x14ac:dyDescent="0.35"/>
    <row r="302" s="37" customFormat="1" x14ac:dyDescent="0.35"/>
    <row r="303" s="37" customFormat="1" x14ac:dyDescent="0.35"/>
    <row r="304" s="37" customFormat="1" x14ac:dyDescent="0.35"/>
    <row r="305" s="37" customFormat="1" x14ac:dyDescent="0.35"/>
    <row r="306" s="37" customFormat="1" x14ac:dyDescent="0.35"/>
    <row r="307" s="37" customFormat="1" x14ac:dyDescent="0.35"/>
    <row r="308" s="37" customFormat="1" x14ac:dyDescent="0.35"/>
    <row r="309" s="37" customFormat="1" x14ac:dyDescent="0.35"/>
    <row r="310" s="37" customFormat="1" x14ac:dyDescent="0.35"/>
    <row r="311" s="37" customFormat="1" x14ac:dyDescent="0.35"/>
    <row r="312" s="37" customFormat="1" x14ac:dyDescent="0.35"/>
    <row r="313" s="37" customFormat="1" x14ac:dyDescent="0.35"/>
    <row r="314" s="37" customFormat="1" x14ac:dyDescent="0.35"/>
    <row r="315" s="37" customFormat="1" x14ac:dyDescent="0.35"/>
    <row r="316" s="37" customFormat="1" x14ac:dyDescent="0.35"/>
    <row r="317" s="37" customFormat="1" x14ac:dyDescent="0.35"/>
    <row r="318" s="37" customFormat="1" x14ac:dyDescent="0.35"/>
    <row r="319" s="37" customFormat="1" x14ac:dyDescent="0.35"/>
    <row r="320" s="37" customFormat="1" x14ac:dyDescent="0.35"/>
    <row r="321" s="37" customFormat="1" x14ac:dyDescent="0.35"/>
    <row r="322" s="37" customFormat="1" x14ac:dyDescent="0.35"/>
    <row r="323" s="37" customFormat="1" x14ac:dyDescent="0.35"/>
    <row r="324" s="37" customFormat="1" x14ac:dyDescent="0.35"/>
    <row r="325" s="37" customFormat="1" x14ac:dyDescent="0.35"/>
    <row r="326" s="37" customFormat="1" x14ac:dyDescent="0.35"/>
    <row r="327" s="37" customFormat="1" x14ac:dyDescent="0.35"/>
    <row r="328" s="37" customFormat="1" x14ac:dyDescent="0.35"/>
    <row r="329" s="37" customFormat="1" x14ac:dyDescent="0.35"/>
    <row r="330" s="37" customFormat="1" x14ac:dyDescent="0.35"/>
    <row r="331" s="37" customFormat="1" x14ac:dyDescent="0.35"/>
    <row r="332" s="37" customFormat="1" x14ac:dyDescent="0.35"/>
    <row r="333" s="37" customFormat="1" x14ac:dyDescent="0.35"/>
    <row r="334" s="37" customFormat="1" x14ac:dyDescent="0.35"/>
    <row r="335" s="37" customFormat="1" x14ac:dyDescent="0.35"/>
    <row r="336" s="37" customFormat="1" x14ac:dyDescent="0.35"/>
    <row r="337" s="37" customFormat="1" x14ac:dyDescent="0.35"/>
    <row r="338" s="37" customFormat="1" x14ac:dyDescent="0.35"/>
    <row r="339" s="37" customFormat="1" x14ac:dyDescent="0.35"/>
    <row r="340" s="37" customFormat="1" x14ac:dyDescent="0.35"/>
    <row r="341" s="37" customFormat="1" x14ac:dyDescent="0.35"/>
    <row r="342" s="37" customFormat="1" x14ac:dyDescent="0.35"/>
    <row r="343" s="37" customFormat="1" x14ac:dyDescent="0.35"/>
    <row r="344" s="37" customFormat="1" x14ac:dyDescent="0.35"/>
    <row r="345" s="37" customFormat="1" x14ac:dyDescent="0.35"/>
    <row r="346" s="37" customFormat="1" x14ac:dyDescent="0.35"/>
    <row r="347" s="37" customFormat="1" x14ac:dyDescent="0.35"/>
    <row r="348" s="37" customFormat="1" x14ac:dyDescent="0.35"/>
    <row r="349" s="37" customFormat="1" x14ac:dyDescent="0.35"/>
    <row r="350" s="37" customFormat="1" x14ac:dyDescent="0.35"/>
    <row r="351" s="37" customFormat="1" x14ac:dyDescent="0.35"/>
    <row r="352" s="37" customFormat="1" x14ac:dyDescent="0.35"/>
    <row r="353" s="37" customFormat="1" x14ac:dyDescent="0.35"/>
    <row r="354" s="37" customFormat="1" x14ac:dyDescent="0.35"/>
    <row r="355" s="37" customFormat="1" x14ac:dyDescent="0.35"/>
    <row r="356" s="37" customFormat="1" x14ac:dyDescent="0.35"/>
    <row r="357" s="37" customFormat="1" x14ac:dyDescent="0.35"/>
    <row r="358" s="37" customFormat="1" x14ac:dyDescent="0.35"/>
    <row r="359" s="37" customFormat="1" x14ac:dyDescent="0.35"/>
    <row r="360" s="37" customFormat="1" x14ac:dyDescent="0.35"/>
    <row r="361" s="37" customFormat="1" x14ac:dyDescent="0.35"/>
    <row r="362" s="37" customFormat="1" x14ac:dyDescent="0.35"/>
    <row r="363" s="37" customFormat="1" x14ac:dyDescent="0.35"/>
    <row r="364" s="37" customFormat="1" x14ac:dyDescent="0.35"/>
    <row r="365" s="37" customFormat="1" x14ac:dyDescent="0.35"/>
    <row r="366" s="37" customFormat="1" x14ac:dyDescent="0.35"/>
    <row r="367" s="37" customFormat="1" x14ac:dyDescent="0.35"/>
    <row r="368" s="37" customFormat="1" x14ac:dyDescent="0.35"/>
    <row r="369" s="37" customFormat="1" x14ac:dyDescent="0.35"/>
    <row r="370" s="37" customFormat="1" x14ac:dyDescent="0.35"/>
    <row r="371" s="37" customFormat="1" x14ac:dyDescent="0.35"/>
    <row r="372" s="37" customFormat="1" x14ac:dyDescent="0.35"/>
    <row r="373" s="37" customFormat="1" x14ac:dyDescent="0.35"/>
    <row r="374" s="37" customFormat="1" x14ac:dyDescent="0.35"/>
    <row r="375" s="37" customFormat="1" x14ac:dyDescent="0.35"/>
    <row r="376" s="37" customFormat="1" x14ac:dyDescent="0.35"/>
    <row r="377" s="37" customFormat="1" x14ac:dyDescent="0.35"/>
    <row r="378" s="37" customFormat="1" x14ac:dyDescent="0.35"/>
    <row r="379" s="37" customFormat="1" x14ac:dyDescent="0.35"/>
    <row r="380" s="37" customFormat="1" x14ac:dyDescent="0.35"/>
    <row r="381" s="37" customFormat="1" x14ac:dyDescent="0.35"/>
    <row r="382" s="37" customFormat="1" x14ac:dyDescent="0.35"/>
    <row r="383" s="37" customFormat="1" x14ac:dyDescent="0.35"/>
    <row r="384" s="37" customFormat="1" x14ac:dyDescent="0.35"/>
    <row r="385" s="37" customFormat="1" x14ac:dyDescent="0.35"/>
    <row r="386" s="37" customFormat="1" x14ac:dyDescent="0.35"/>
    <row r="387" s="37" customFormat="1" x14ac:dyDescent="0.35"/>
    <row r="388" s="37" customFormat="1" x14ac:dyDescent="0.35"/>
    <row r="389" s="37" customFormat="1" x14ac:dyDescent="0.35"/>
    <row r="390" s="37" customFormat="1" x14ac:dyDescent="0.35"/>
    <row r="391" s="37" customFormat="1" x14ac:dyDescent="0.35"/>
    <row r="392" s="37" customFormat="1" x14ac:dyDescent="0.35"/>
    <row r="393" s="37" customFormat="1" x14ac:dyDescent="0.35"/>
    <row r="394" s="37" customFormat="1" x14ac:dyDescent="0.35"/>
    <row r="395" s="37" customFormat="1" x14ac:dyDescent="0.35"/>
    <row r="396" s="37" customFormat="1" x14ac:dyDescent="0.35"/>
    <row r="397" s="37" customFormat="1" x14ac:dyDescent="0.35"/>
    <row r="398" s="37" customFormat="1" x14ac:dyDescent="0.35"/>
    <row r="399" s="37" customFormat="1" x14ac:dyDescent="0.35"/>
    <row r="400" s="37" customFormat="1" x14ac:dyDescent="0.35"/>
    <row r="401" s="37" customFormat="1" x14ac:dyDescent="0.35"/>
    <row r="402" s="37" customFormat="1" x14ac:dyDescent="0.35"/>
    <row r="403" s="37" customFormat="1" x14ac:dyDescent="0.35"/>
    <row r="404" s="37" customFormat="1" x14ac:dyDescent="0.35"/>
    <row r="405" s="37" customFormat="1" x14ac:dyDescent="0.35"/>
    <row r="406" s="37" customFormat="1" x14ac:dyDescent="0.35"/>
    <row r="407" s="37" customFormat="1" x14ac:dyDescent="0.35"/>
    <row r="408" s="37" customFormat="1" x14ac:dyDescent="0.35"/>
    <row r="409" s="37" customFormat="1" x14ac:dyDescent="0.35"/>
    <row r="410" s="37" customFormat="1" x14ac:dyDescent="0.35"/>
    <row r="411" s="37" customFormat="1" x14ac:dyDescent="0.35"/>
    <row r="412" s="37" customFormat="1" x14ac:dyDescent="0.35"/>
    <row r="413" s="37" customFormat="1" x14ac:dyDescent="0.35"/>
    <row r="414" s="37" customFormat="1" x14ac:dyDescent="0.35"/>
    <row r="415" s="37" customFormat="1" x14ac:dyDescent="0.35"/>
    <row r="416" s="37" customFormat="1" x14ac:dyDescent="0.35"/>
    <row r="417" s="37" customFormat="1" x14ac:dyDescent="0.35"/>
    <row r="418" s="37" customFormat="1" x14ac:dyDescent="0.35"/>
    <row r="419" s="37" customFormat="1" x14ac:dyDescent="0.35"/>
    <row r="420" s="37" customFormat="1" x14ac:dyDescent="0.35"/>
    <row r="421" s="37" customFormat="1" x14ac:dyDescent="0.35"/>
    <row r="422" s="37" customFormat="1" x14ac:dyDescent="0.35"/>
    <row r="423" s="37" customFormat="1" x14ac:dyDescent="0.35"/>
    <row r="424" s="37" customFormat="1" x14ac:dyDescent="0.35"/>
    <row r="425" s="37" customFormat="1" x14ac:dyDescent="0.35"/>
    <row r="426" s="37" customFormat="1" x14ac:dyDescent="0.35"/>
    <row r="427" s="37" customFormat="1" x14ac:dyDescent="0.35"/>
    <row r="428" s="37" customFormat="1" x14ac:dyDescent="0.35"/>
    <row r="429" s="37" customFormat="1" x14ac:dyDescent="0.35"/>
    <row r="430" s="37" customFormat="1" x14ac:dyDescent="0.35"/>
    <row r="431" s="37" customFormat="1" x14ac:dyDescent="0.35"/>
    <row r="432" s="37" customFormat="1" x14ac:dyDescent="0.35"/>
    <row r="433" s="37" customFormat="1" x14ac:dyDescent="0.35"/>
    <row r="434" s="37" customFormat="1" x14ac:dyDescent="0.35"/>
    <row r="435" s="37" customFormat="1" x14ac:dyDescent="0.35"/>
    <row r="436" s="37" customFormat="1" x14ac:dyDescent="0.35"/>
    <row r="437" s="37" customFormat="1" x14ac:dyDescent="0.35"/>
    <row r="438" s="37" customFormat="1" x14ac:dyDescent="0.35"/>
    <row r="439" s="37" customFormat="1" x14ac:dyDescent="0.35"/>
    <row r="440" s="37" customFormat="1" x14ac:dyDescent="0.35"/>
    <row r="441" s="37" customFormat="1" x14ac:dyDescent="0.35"/>
    <row r="442" s="37" customFormat="1" x14ac:dyDescent="0.35"/>
    <row r="443" s="37" customFormat="1" x14ac:dyDescent="0.35"/>
    <row r="444" s="37" customFormat="1" x14ac:dyDescent="0.35"/>
    <row r="445" s="37" customFormat="1" x14ac:dyDescent="0.35"/>
    <row r="446" s="37" customFormat="1" x14ac:dyDescent="0.35"/>
    <row r="447" s="37" customFormat="1" x14ac:dyDescent="0.35"/>
    <row r="448" s="37" customFormat="1" x14ac:dyDescent="0.35"/>
    <row r="449" s="37" customFormat="1" x14ac:dyDescent="0.35"/>
    <row r="450" s="37" customFormat="1" x14ac:dyDescent="0.35"/>
    <row r="451" s="37" customFormat="1" x14ac:dyDescent="0.35"/>
    <row r="452" s="37" customFormat="1" x14ac:dyDescent="0.35"/>
    <row r="453" s="37" customFormat="1" x14ac:dyDescent="0.35"/>
    <row r="454" s="37" customFormat="1" x14ac:dyDescent="0.35"/>
    <row r="455" s="37" customFormat="1" x14ac:dyDescent="0.35"/>
    <row r="456" s="37" customFormat="1" x14ac:dyDescent="0.35"/>
    <row r="457" s="37" customFormat="1" x14ac:dyDescent="0.35"/>
    <row r="458" s="37" customFormat="1" x14ac:dyDescent="0.35"/>
    <row r="459" s="37" customFormat="1" x14ac:dyDescent="0.35"/>
    <row r="460" s="37" customFormat="1" x14ac:dyDescent="0.35"/>
    <row r="461" s="37" customFormat="1" x14ac:dyDescent="0.35"/>
    <row r="462" s="37" customFormat="1" x14ac:dyDescent="0.35"/>
    <row r="463" s="37" customFormat="1" x14ac:dyDescent="0.35"/>
    <row r="464" s="37" customFormat="1" x14ac:dyDescent="0.35"/>
    <row r="465" s="37" customFormat="1" x14ac:dyDescent="0.35"/>
    <row r="466" s="37" customFormat="1" x14ac:dyDescent="0.35"/>
    <row r="467" s="37" customFormat="1" x14ac:dyDescent="0.35"/>
    <row r="468" s="37" customFormat="1" x14ac:dyDescent="0.35"/>
    <row r="469" s="37" customFormat="1" x14ac:dyDescent="0.35"/>
    <row r="470" s="37" customFormat="1" x14ac:dyDescent="0.35"/>
    <row r="471" s="37" customFormat="1" x14ac:dyDescent="0.35"/>
    <row r="472" s="37" customFormat="1" x14ac:dyDescent="0.35"/>
    <row r="473" s="37" customFormat="1" x14ac:dyDescent="0.35"/>
    <row r="474" s="37" customFormat="1" x14ac:dyDescent="0.35"/>
    <row r="475" s="37" customFormat="1" x14ac:dyDescent="0.35"/>
    <row r="476" s="37" customFormat="1" x14ac:dyDescent="0.35"/>
    <row r="477" s="37" customFormat="1" x14ac:dyDescent="0.35"/>
    <row r="478" s="37" customFormat="1" x14ac:dyDescent="0.35"/>
    <row r="479" s="37" customFormat="1" x14ac:dyDescent="0.35"/>
    <row r="480" s="37" customFormat="1" x14ac:dyDescent="0.35"/>
    <row r="481" s="37" customFormat="1" x14ac:dyDescent="0.35"/>
    <row r="482" s="37" customFormat="1" x14ac:dyDescent="0.35"/>
    <row r="483" s="37" customFormat="1" x14ac:dyDescent="0.35"/>
    <row r="484" s="37" customFormat="1" x14ac:dyDescent="0.35"/>
    <row r="485" s="37" customFormat="1" x14ac:dyDescent="0.35"/>
    <row r="486" s="37" customFormat="1" x14ac:dyDescent="0.35"/>
    <row r="487" s="37" customFormat="1" x14ac:dyDescent="0.35"/>
    <row r="488" s="37" customFormat="1" x14ac:dyDescent="0.35"/>
    <row r="489" s="37" customFormat="1" x14ac:dyDescent="0.35"/>
    <row r="490" s="37" customFormat="1" x14ac:dyDescent="0.35"/>
    <row r="491" s="37" customFormat="1" x14ac:dyDescent="0.35"/>
    <row r="492" s="37" customFormat="1" x14ac:dyDescent="0.35"/>
    <row r="493" s="37" customFormat="1" x14ac:dyDescent="0.35"/>
    <row r="494" s="37" customFormat="1" x14ac:dyDescent="0.35"/>
    <row r="495" s="37" customFormat="1" x14ac:dyDescent="0.35"/>
    <row r="496" s="37" customFormat="1" x14ac:dyDescent="0.35"/>
    <row r="497" s="37" customFormat="1" x14ac:dyDescent="0.35"/>
    <row r="498" s="37" customFormat="1" x14ac:dyDescent="0.35"/>
    <row r="499" s="37" customFormat="1" x14ac:dyDescent="0.35"/>
    <row r="500" s="37" customFormat="1" x14ac:dyDescent="0.35"/>
    <row r="501" s="37" customFormat="1" x14ac:dyDescent="0.35"/>
    <row r="502" s="37" customFormat="1" x14ac:dyDescent="0.35"/>
    <row r="503" s="37" customFormat="1" x14ac:dyDescent="0.35"/>
    <row r="504" s="37" customFormat="1" x14ac:dyDescent="0.35"/>
    <row r="505" s="37" customFormat="1" x14ac:dyDescent="0.35"/>
    <row r="506" s="37" customFormat="1" x14ac:dyDescent="0.35"/>
    <row r="507" s="37" customFormat="1" x14ac:dyDescent="0.35"/>
    <row r="508" s="37" customFormat="1" x14ac:dyDescent="0.35"/>
    <row r="509" s="37" customFormat="1" x14ac:dyDescent="0.35"/>
    <row r="510" s="37" customFormat="1" x14ac:dyDescent="0.35"/>
    <row r="511" s="37" customFormat="1" x14ac:dyDescent="0.35"/>
    <row r="512" s="37" customFormat="1" x14ac:dyDescent="0.35"/>
    <row r="513" s="37" customFormat="1" x14ac:dyDescent="0.35"/>
    <row r="514" s="37" customFormat="1" x14ac:dyDescent="0.35"/>
    <row r="515" s="37" customFormat="1" x14ac:dyDescent="0.35"/>
    <row r="516" s="37" customFormat="1" x14ac:dyDescent="0.35"/>
    <row r="517" s="37" customFormat="1" x14ac:dyDescent="0.35"/>
    <row r="518" s="37" customFormat="1" x14ac:dyDescent="0.35"/>
    <row r="519" s="37" customFormat="1" x14ac:dyDescent="0.35"/>
    <row r="520" s="37" customFormat="1" x14ac:dyDescent="0.35"/>
    <row r="521" s="37" customFormat="1" x14ac:dyDescent="0.35"/>
    <row r="522" s="37" customFormat="1" x14ac:dyDescent="0.35"/>
    <row r="523" s="37" customFormat="1" x14ac:dyDescent="0.35"/>
    <row r="524" s="37" customFormat="1" x14ac:dyDescent="0.35"/>
    <row r="525" s="37" customFormat="1" x14ac:dyDescent="0.35"/>
    <row r="526" s="37" customFormat="1" x14ac:dyDescent="0.35"/>
    <row r="527" s="37" customFormat="1" x14ac:dyDescent="0.35"/>
    <row r="528" s="37" customFormat="1" x14ac:dyDescent="0.35"/>
    <row r="529" s="37" customFormat="1" x14ac:dyDescent="0.35"/>
    <row r="530" s="37" customFormat="1" x14ac:dyDescent="0.35"/>
    <row r="531" s="37" customFormat="1" x14ac:dyDescent="0.35"/>
    <row r="532" s="37" customFormat="1" x14ac:dyDescent="0.35"/>
    <row r="533" s="37" customFormat="1" x14ac:dyDescent="0.35"/>
    <row r="534" s="37" customFormat="1" x14ac:dyDescent="0.35"/>
    <row r="535" s="37" customFormat="1" x14ac:dyDescent="0.35"/>
    <row r="536" s="37" customFormat="1" x14ac:dyDescent="0.35"/>
    <row r="537" s="37" customFormat="1" x14ac:dyDescent="0.35"/>
    <row r="538" s="37" customFormat="1" x14ac:dyDescent="0.35"/>
    <row r="539" s="37" customFormat="1" x14ac:dyDescent="0.35"/>
    <row r="540" s="37" customFormat="1" x14ac:dyDescent="0.35"/>
    <row r="541" s="37" customFormat="1" x14ac:dyDescent="0.35"/>
    <row r="542" s="37" customFormat="1" x14ac:dyDescent="0.35"/>
    <row r="543" s="37" customFormat="1" x14ac:dyDescent="0.35"/>
    <row r="544" s="37" customFormat="1" x14ac:dyDescent="0.35"/>
    <row r="545" s="37" customFormat="1" x14ac:dyDescent="0.35"/>
    <row r="546" s="37" customFormat="1" x14ac:dyDescent="0.35"/>
    <row r="547" s="37" customFormat="1" x14ac:dyDescent="0.35"/>
    <row r="548" s="37" customFormat="1" x14ac:dyDescent="0.35"/>
    <row r="549" s="37" customFormat="1" x14ac:dyDescent="0.35"/>
    <row r="550" s="37" customFormat="1" x14ac:dyDescent="0.35"/>
    <row r="551" s="37" customFormat="1" x14ac:dyDescent="0.35"/>
    <row r="552" s="37" customFormat="1" x14ac:dyDescent="0.35"/>
    <row r="553" s="37" customFormat="1" x14ac:dyDescent="0.35"/>
    <row r="554" s="37" customFormat="1" x14ac:dyDescent="0.35"/>
    <row r="555" s="37" customFormat="1" x14ac:dyDescent="0.35"/>
    <row r="556" s="37" customFormat="1" x14ac:dyDescent="0.35"/>
    <row r="557" s="37" customFormat="1" x14ac:dyDescent="0.35"/>
    <row r="558" s="37" customFormat="1" x14ac:dyDescent="0.35"/>
    <row r="559" s="37" customFormat="1" x14ac:dyDescent="0.35"/>
    <row r="560" s="37" customFormat="1" x14ac:dyDescent="0.35"/>
    <row r="561" s="37" customFormat="1" x14ac:dyDescent="0.35"/>
    <row r="562" s="37" customFormat="1" x14ac:dyDescent="0.35"/>
    <row r="563" s="37" customFormat="1" x14ac:dyDescent="0.35"/>
    <row r="564" s="37" customFormat="1" x14ac:dyDescent="0.35"/>
    <row r="565" s="37" customFormat="1" x14ac:dyDescent="0.35"/>
    <row r="566" s="37" customFormat="1" x14ac:dyDescent="0.35"/>
    <row r="567" s="37" customFormat="1" x14ac:dyDescent="0.35"/>
    <row r="568" s="37" customFormat="1" x14ac:dyDescent="0.35"/>
    <row r="569" s="37" customFormat="1" x14ac:dyDescent="0.35"/>
    <row r="570" s="37" customFormat="1" x14ac:dyDescent="0.35"/>
    <row r="571" s="37" customFormat="1" x14ac:dyDescent="0.35"/>
    <row r="572" s="37" customFormat="1" x14ac:dyDescent="0.35"/>
    <row r="573" s="37" customFormat="1" x14ac:dyDescent="0.35"/>
    <row r="574" s="37" customFormat="1" x14ac:dyDescent="0.35"/>
    <row r="575" s="37" customFormat="1" x14ac:dyDescent="0.35"/>
    <row r="576" s="37" customFormat="1" x14ac:dyDescent="0.35"/>
    <row r="577" s="37" customFormat="1" x14ac:dyDescent="0.35"/>
    <row r="578" s="37" customFormat="1" x14ac:dyDescent="0.35"/>
    <row r="579" s="37" customFormat="1" x14ac:dyDescent="0.35"/>
    <row r="580" s="37" customFormat="1" x14ac:dyDescent="0.35"/>
    <row r="581" s="37" customFormat="1" x14ac:dyDescent="0.35"/>
    <row r="582" s="37" customFormat="1" x14ac:dyDescent="0.35"/>
    <row r="583" s="37" customFormat="1" x14ac:dyDescent="0.35"/>
    <row r="584" s="37" customFormat="1" x14ac:dyDescent="0.35"/>
    <row r="585" s="37" customFormat="1" x14ac:dyDescent="0.35"/>
    <row r="586" s="37" customFormat="1" x14ac:dyDescent="0.35"/>
    <row r="587" s="37" customFormat="1" x14ac:dyDescent="0.35"/>
    <row r="588" s="37" customFormat="1" x14ac:dyDescent="0.35"/>
    <row r="589" s="37" customFormat="1" x14ac:dyDescent="0.35"/>
    <row r="590" s="37" customFormat="1" x14ac:dyDescent="0.35"/>
    <row r="591" s="37" customFormat="1" x14ac:dyDescent="0.35"/>
    <row r="592" s="37" customFormat="1" x14ac:dyDescent="0.35"/>
    <row r="593" s="37" customFormat="1" x14ac:dyDescent="0.35"/>
    <row r="594" s="37" customFormat="1" x14ac:dyDescent="0.35"/>
    <row r="595" s="37" customFormat="1" x14ac:dyDescent="0.35"/>
    <row r="596" s="37" customFormat="1" x14ac:dyDescent="0.35"/>
    <row r="597" s="37" customFormat="1" x14ac:dyDescent="0.35"/>
    <row r="598" s="37" customFormat="1" x14ac:dyDescent="0.35"/>
    <row r="599" s="37" customFormat="1" x14ac:dyDescent="0.35"/>
    <row r="600" s="37" customFormat="1" x14ac:dyDescent="0.35"/>
    <row r="601" s="37" customFormat="1" x14ac:dyDescent="0.35"/>
    <row r="602" s="37" customFormat="1" x14ac:dyDescent="0.35"/>
    <row r="603" s="37" customFormat="1" x14ac:dyDescent="0.35"/>
    <row r="604" s="37" customFormat="1" x14ac:dyDescent="0.35"/>
    <row r="605" s="37" customFormat="1" x14ac:dyDescent="0.35"/>
    <row r="606" s="37" customFormat="1" x14ac:dyDescent="0.35"/>
    <row r="607" s="37" customFormat="1" x14ac:dyDescent="0.35"/>
    <row r="608" s="37" customFormat="1" x14ac:dyDescent="0.35"/>
    <row r="609" s="37" customFormat="1" x14ac:dyDescent="0.35"/>
    <row r="610" s="37" customFormat="1" x14ac:dyDescent="0.35"/>
    <row r="611" s="37" customFormat="1" x14ac:dyDescent="0.35"/>
    <row r="612" s="37" customFormat="1" x14ac:dyDescent="0.35"/>
    <row r="613" s="37" customFormat="1" x14ac:dyDescent="0.35"/>
    <row r="614" s="37" customFormat="1" x14ac:dyDescent="0.35"/>
    <row r="615" s="37" customFormat="1" x14ac:dyDescent="0.35"/>
    <row r="616" s="37" customFormat="1" x14ac:dyDescent="0.35"/>
    <row r="617" s="37" customFormat="1" x14ac:dyDescent="0.35"/>
    <row r="618" s="37" customFormat="1" x14ac:dyDescent="0.35"/>
    <row r="619" s="37" customFormat="1" x14ac:dyDescent="0.35"/>
    <row r="620" s="37" customFormat="1" x14ac:dyDescent="0.35"/>
    <row r="621" s="37" customFormat="1" x14ac:dyDescent="0.35"/>
    <row r="622" s="37" customFormat="1" x14ac:dyDescent="0.35"/>
    <row r="623" s="37" customFormat="1" x14ac:dyDescent="0.35"/>
    <row r="624" s="37" customFormat="1" x14ac:dyDescent="0.35"/>
    <row r="625" s="37" customFormat="1" x14ac:dyDescent="0.35"/>
    <row r="626" s="37" customFormat="1" x14ac:dyDescent="0.35"/>
    <row r="627" s="37" customFormat="1" x14ac:dyDescent="0.35"/>
    <row r="628" s="37" customFormat="1" x14ac:dyDescent="0.35"/>
    <row r="629" s="37" customFormat="1" x14ac:dyDescent="0.35"/>
    <row r="630" s="37" customFormat="1" x14ac:dyDescent="0.35"/>
    <row r="631" s="37" customFormat="1" x14ac:dyDescent="0.35"/>
    <row r="632" s="37" customFormat="1" x14ac:dyDescent="0.35"/>
    <row r="633" s="37" customFormat="1" x14ac:dyDescent="0.35"/>
    <row r="634" s="37" customFormat="1" x14ac:dyDescent="0.35"/>
    <row r="635" s="37" customFormat="1" x14ac:dyDescent="0.35"/>
    <row r="636" s="37" customFormat="1" x14ac:dyDescent="0.35"/>
    <row r="637" s="37" customFormat="1" x14ac:dyDescent="0.35"/>
    <row r="638" s="37" customFormat="1" x14ac:dyDescent="0.35"/>
    <row r="639" s="37" customFormat="1" x14ac:dyDescent="0.35"/>
    <row r="640" s="37" customFormat="1" x14ac:dyDescent="0.35"/>
    <row r="641" s="37" customFormat="1" x14ac:dyDescent="0.35"/>
    <row r="642" s="37" customFormat="1" x14ac:dyDescent="0.35"/>
    <row r="643" s="37" customFormat="1" x14ac:dyDescent="0.35"/>
    <row r="644" s="37" customFormat="1" x14ac:dyDescent="0.35"/>
    <row r="645" s="37" customFormat="1" x14ac:dyDescent="0.35"/>
    <row r="646" s="37" customFormat="1" x14ac:dyDescent="0.35"/>
    <row r="647" s="37" customFormat="1" x14ac:dyDescent="0.35"/>
    <row r="648" s="37" customFormat="1" x14ac:dyDescent="0.35"/>
    <row r="649" s="37" customFormat="1" x14ac:dyDescent="0.35"/>
    <row r="650" s="37" customFormat="1" x14ac:dyDescent="0.35"/>
    <row r="651" s="37" customFormat="1" x14ac:dyDescent="0.35"/>
    <row r="652" s="37" customFormat="1" x14ac:dyDescent="0.35"/>
    <row r="653" s="37" customFormat="1" x14ac:dyDescent="0.35"/>
    <row r="654" s="37" customFormat="1" x14ac:dyDescent="0.35"/>
    <row r="655" s="37" customFormat="1" x14ac:dyDescent="0.35"/>
    <row r="656" s="37" customFormat="1" x14ac:dyDescent="0.35"/>
    <row r="657" s="37" customFormat="1" x14ac:dyDescent="0.35"/>
    <row r="658" s="37" customFormat="1" x14ac:dyDescent="0.35"/>
    <row r="659" s="37" customFormat="1" x14ac:dyDescent="0.35"/>
    <row r="660" s="37" customFormat="1" x14ac:dyDescent="0.35"/>
    <row r="661" s="37" customFormat="1" x14ac:dyDescent="0.35"/>
    <row r="662" s="37" customFormat="1" x14ac:dyDescent="0.35"/>
    <row r="663" s="37" customFormat="1" x14ac:dyDescent="0.35"/>
    <row r="664" s="37" customFormat="1" x14ac:dyDescent="0.35"/>
    <row r="665" s="37" customFormat="1" x14ac:dyDescent="0.35"/>
    <row r="666" s="37" customFormat="1" x14ac:dyDescent="0.35"/>
    <row r="667" s="37" customFormat="1" x14ac:dyDescent="0.35"/>
    <row r="668" s="37" customFormat="1" x14ac:dyDescent="0.35"/>
    <row r="669" s="37" customFormat="1" x14ac:dyDescent="0.35"/>
    <row r="670" s="37" customFormat="1" x14ac:dyDescent="0.35"/>
    <row r="671" s="37" customFormat="1" x14ac:dyDescent="0.35"/>
    <row r="672" s="37" customFormat="1" x14ac:dyDescent="0.35"/>
    <row r="673" s="37" customFormat="1" x14ac:dyDescent="0.35"/>
    <row r="674" s="37" customFormat="1" x14ac:dyDescent="0.35"/>
    <row r="675" s="37" customFormat="1" x14ac:dyDescent="0.35"/>
    <row r="676" s="37" customFormat="1" x14ac:dyDescent="0.35"/>
    <row r="677" s="37" customFormat="1" x14ac:dyDescent="0.35"/>
    <row r="678" s="37" customFormat="1" x14ac:dyDescent="0.35"/>
    <row r="679" s="37" customFormat="1" x14ac:dyDescent="0.35"/>
    <row r="680" s="37" customFormat="1" x14ac:dyDescent="0.35"/>
    <row r="681" s="37" customFormat="1" x14ac:dyDescent="0.35"/>
    <row r="682" s="37" customFormat="1" x14ac:dyDescent="0.35"/>
    <row r="683" s="37" customFormat="1" x14ac:dyDescent="0.35"/>
    <row r="684" s="37" customFormat="1" x14ac:dyDescent="0.35"/>
    <row r="685" s="37" customFormat="1" x14ac:dyDescent="0.35"/>
    <row r="686" s="37" customFormat="1" x14ac:dyDescent="0.35"/>
    <row r="687" s="37" customFormat="1" x14ac:dyDescent="0.35"/>
    <row r="688" s="37" customFormat="1" x14ac:dyDescent="0.35"/>
    <row r="689" s="37" customFormat="1" x14ac:dyDescent="0.35"/>
    <row r="690" s="37" customFormat="1" x14ac:dyDescent="0.35"/>
    <row r="691" s="37" customFormat="1" x14ac:dyDescent="0.35"/>
    <row r="692" s="37" customFormat="1" x14ac:dyDescent="0.35"/>
    <row r="693" s="37" customFormat="1" x14ac:dyDescent="0.35"/>
    <row r="694" s="37" customFormat="1" x14ac:dyDescent="0.35"/>
    <row r="695" s="37" customFormat="1" x14ac:dyDescent="0.35"/>
    <row r="696" s="37" customFormat="1" x14ac:dyDescent="0.35"/>
    <row r="697" s="37" customFormat="1" x14ac:dyDescent="0.35"/>
    <row r="698" s="37" customFormat="1" x14ac:dyDescent="0.35"/>
    <row r="699" s="37" customFormat="1" x14ac:dyDescent="0.35"/>
    <row r="700" s="37" customFormat="1" x14ac:dyDescent="0.35"/>
    <row r="701" s="37" customFormat="1" x14ac:dyDescent="0.35"/>
    <row r="702" s="37" customFormat="1" x14ac:dyDescent="0.35"/>
    <row r="703" s="37" customFormat="1" x14ac:dyDescent="0.35"/>
    <row r="704" s="37" customFormat="1" x14ac:dyDescent="0.35"/>
    <row r="705" s="37" customFormat="1" x14ac:dyDescent="0.35"/>
    <row r="706" s="37" customFormat="1" x14ac:dyDescent="0.35"/>
    <row r="707" s="37" customFormat="1" x14ac:dyDescent="0.35"/>
    <row r="708" s="37" customFormat="1" x14ac:dyDescent="0.35"/>
    <row r="709" s="37" customFormat="1" x14ac:dyDescent="0.35"/>
    <row r="710" s="37" customFormat="1" x14ac:dyDescent="0.35"/>
    <row r="711" s="37" customFormat="1" x14ac:dyDescent="0.35"/>
    <row r="712" s="37" customFormat="1" x14ac:dyDescent="0.35"/>
    <row r="713" s="37" customFormat="1" x14ac:dyDescent="0.35"/>
    <row r="714" s="37" customFormat="1" x14ac:dyDescent="0.35"/>
    <row r="715" s="37" customFormat="1" x14ac:dyDescent="0.35"/>
    <row r="716" s="37" customFormat="1" x14ac:dyDescent="0.35"/>
    <row r="717" s="37" customFormat="1" x14ac:dyDescent="0.35"/>
    <row r="718" s="37" customFormat="1" x14ac:dyDescent="0.35"/>
    <row r="719" s="37" customFormat="1" x14ac:dyDescent="0.35"/>
    <row r="720" s="37" customFormat="1" x14ac:dyDescent="0.35"/>
    <row r="721" s="37" customFormat="1" x14ac:dyDescent="0.35"/>
    <row r="722" s="37" customFormat="1" x14ac:dyDescent="0.35"/>
    <row r="723" s="37" customFormat="1" x14ac:dyDescent="0.35"/>
    <row r="724" s="37" customFormat="1" x14ac:dyDescent="0.35"/>
    <row r="725" s="37" customFormat="1" x14ac:dyDescent="0.35"/>
    <row r="726" s="37" customFormat="1" x14ac:dyDescent="0.35"/>
    <row r="727" s="37" customFormat="1" x14ac:dyDescent="0.35"/>
    <row r="728" s="37" customFormat="1" x14ac:dyDescent="0.35"/>
    <row r="729" s="37" customFormat="1" x14ac:dyDescent="0.35"/>
    <row r="730" s="37" customFormat="1" x14ac:dyDescent="0.35"/>
    <row r="731" s="37" customFormat="1" x14ac:dyDescent="0.35"/>
    <row r="732" s="37" customFormat="1" x14ac:dyDescent="0.35"/>
    <row r="733" s="37" customFormat="1" x14ac:dyDescent="0.35"/>
    <row r="734" s="37" customFormat="1" x14ac:dyDescent="0.35"/>
    <row r="735" s="37" customFormat="1" x14ac:dyDescent="0.35"/>
    <row r="736" s="37" customFormat="1" x14ac:dyDescent="0.35"/>
    <row r="737" s="37" customFormat="1" x14ac:dyDescent="0.35"/>
    <row r="738" s="37" customFormat="1" x14ac:dyDescent="0.35"/>
    <row r="739" s="37" customFormat="1" x14ac:dyDescent="0.35"/>
    <row r="740" s="37" customFormat="1" x14ac:dyDescent="0.35"/>
    <row r="741" s="37" customFormat="1" x14ac:dyDescent="0.35"/>
    <row r="742" s="37" customFormat="1" x14ac:dyDescent="0.35"/>
    <row r="743" s="37" customFormat="1" x14ac:dyDescent="0.35"/>
    <row r="744" s="37" customFormat="1" x14ac:dyDescent="0.35"/>
    <row r="745" s="37" customFormat="1" x14ac:dyDescent="0.35"/>
    <row r="746" s="37" customFormat="1" x14ac:dyDescent="0.35"/>
    <row r="747" s="37" customFormat="1" x14ac:dyDescent="0.35"/>
    <row r="748" s="37" customFormat="1" x14ac:dyDescent="0.35"/>
    <row r="749" s="37" customFormat="1" x14ac:dyDescent="0.35"/>
    <row r="750" s="37" customFormat="1" x14ac:dyDescent="0.35"/>
    <row r="751" s="37" customFormat="1" x14ac:dyDescent="0.35"/>
    <row r="752" s="37" customFormat="1" x14ac:dyDescent="0.35"/>
    <row r="753" s="37" customFormat="1" x14ac:dyDescent="0.35"/>
    <row r="754" s="37" customFormat="1" x14ac:dyDescent="0.35"/>
    <row r="755" s="37" customFormat="1" x14ac:dyDescent="0.35"/>
    <row r="756" s="37" customFormat="1" x14ac:dyDescent="0.35"/>
    <row r="757" s="37" customFormat="1" x14ac:dyDescent="0.35"/>
    <row r="758" s="37" customFormat="1" x14ac:dyDescent="0.35"/>
    <row r="759" s="37" customFormat="1" x14ac:dyDescent="0.35"/>
    <row r="760" s="37" customFormat="1" x14ac:dyDescent="0.35"/>
    <row r="761" s="37" customFormat="1" x14ac:dyDescent="0.35"/>
    <row r="762" s="37" customFormat="1" x14ac:dyDescent="0.35"/>
    <row r="763" s="37" customFormat="1" x14ac:dyDescent="0.35"/>
    <row r="764" s="37" customFormat="1" x14ac:dyDescent="0.35"/>
    <row r="765" s="37" customFormat="1" x14ac:dyDescent="0.35"/>
    <row r="766" s="37" customFormat="1" x14ac:dyDescent="0.35"/>
    <row r="767" s="37" customFormat="1" x14ac:dyDescent="0.35"/>
    <row r="768" s="37" customFormat="1" x14ac:dyDescent="0.35"/>
    <row r="769" s="37" customFormat="1" x14ac:dyDescent="0.35"/>
    <row r="770" s="37" customFormat="1" x14ac:dyDescent="0.35"/>
    <row r="771" s="37" customFormat="1" x14ac:dyDescent="0.35"/>
    <row r="772" s="37" customFormat="1" x14ac:dyDescent="0.35"/>
    <row r="773" s="37" customFormat="1" x14ac:dyDescent="0.35"/>
    <row r="774" s="37" customFormat="1" x14ac:dyDescent="0.35"/>
    <row r="775" s="37" customFormat="1" x14ac:dyDescent="0.35"/>
    <row r="776" s="37" customFormat="1" x14ac:dyDescent="0.35"/>
    <row r="777" s="37" customFormat="1" x14ac:dyDescent="0.35"/>
    <row r="778" s="37" customFormat="1" x14ac:dyDescent="0.35"/>
    <row r="779" s="37" customFormat="1" x14ac:dyDescent="0.35"/>
    <row r="780" s="37" customFormat="1" x14ac:dyDescent="0.35"/>
    <row r="781" s="37" customFormat="1" x14ac:dyDescent="0.35"/>
    <row r="782" s="37" customFormat="1" x14ac:dyDescent="0.35"/>
    <row r="783" s="37" customFormat="1" x14ac:dyDescent="0.35"/>
    <row r="784" s="37" customFormat="1" x14ac:dyDescent="0.35"/>
    <row r="785" s="37" customFormat="1" x14ac:dyDescent="0.35"/>
    <row r="786" s="37" customFormat="1" x14ac:dyDescent="0.35"/>
    <row r="787" s="37" customFormat="1" x14ac:dyDescent="0.35"/>
    <row r="788" s="37" customFormat="1" x14ac:dyDescent="0.35"/>
    <row r="789" s="37" customFormat="1" x14ac:dyDescent="0.35"/>
    <row r="790" s="37" customFormat="1" x14ac:dyDescent="0.35"/>
    <row r="791" s="37" customFormat="1" x14ac:dyDescent="0.35"/>
    <row r="792" s="37" customFormat="1" x14ac:dyDescent="0.35"/>
    <row r="793" s="37" customFormat="1" x14ac:dyDescent="0.35"/>
    <row r="794" s="37" customFormat="1" x14ac:dyDescent="0.35"/>
    <row r="795" s="37" customFormat="1" x14ac:dyDescent="0.35"/>
    <row r="796" s="37" customFormat="1" x14ac:dyDescent="0.35"/>
    <row r="797" s="37" customFormat="1" x14ac:dyDescent="0.35"/>
    <row r="798" s="37" customFormat="1" x14ac:dyDescent="0.35"/>
    <row r="799" s="37" customFormat="1" x14ac:dyDescent="0.35"/>
    <row r="800" s="37" customFormat="1" x14ac:dyDescent="0.35"/>
    <row r="801" s="37" customFormat="1" x14ac:dyDescent="0.35"/>
    <row r="802" s="37" customFormat="1" x14ac:dyDescent="0.35"/>
    <row r="803" s="37" customFormat="1" x14ac:dyDescent="0.35"/>
    <row r="804" s="37" customFormat="1" x14ac:dyDescent="0.35"/>
    <row r="805" s="37" customFormat="1" x14ac:dyDescent="0.35"/>
    <row r="806" s="37" customFormat="1" x14ac:dyDescent="0.35"/>
    <row r="807" s="37" customFormat="1" x14ac:dyDescent="0.35"/>
    <row r="808" s="37" customFormat="1" x14ac:dyDescent="0.35"/>
    <row r="809" s="37" customFormat="1" x14ac:dyDescent="0.35"/>
    <row r="810" s="37" customFormat="1" x14ac:dyDescent="0.35"/>
    <row r="811" s="37" customFormat="1" x14ac:dyDescent="0.35"/>
    <row r="812" s="37" customFormat="1" x14ac:dyDescent="0.35"/>
    <row r="813" s="37" customFormat="1" x14ac:dyDescent="0.35"/>
    <row r="814" s="37" customFormat="1" x14ac:dyDescent="0.35"/>
    <row r="815" s="37" customFormat="1" x14ac:dyDescent="0.35"/>
    <row r="816" s="37" customFormat="1" x14ac:dyDescent="0.35"/>
    <row r="817" s="37" customFormat="1" x14ac:dyDescent="0.35"/>
    <row r="818" s="37" customFormat="1" x14ac:dyDescent="0.35"/>
    <row r="819" s="37" customFormat="1" x14ac:dyDescent="0.35"/>
    <row r="820" s="37" customFormat="1" x14ac:dyDescent="0.35"/>
    <row r="821" s="37" customFormat="1" x14ac:dyDescent="0.35"/>
    <row r="822" s="37" customFormat="1" x14ac:dyDescent="0.35"/>
    <row r="823" s="37" customFormat="1" x14ac:dyDescent="0.35"/>
    <row r="824" s="37" customFormat="1" x14ac:dyDescent="0.35"/>
    <row r="825" s="37" customFormat="1" x14ac:dyDescent="0.35"/>
    <row r="826" s="37" customFormat="1" x14ac:dyDescent="0.35"/>
    <row r="827" s="37" customFormat="1" x14ac:dyDescent="0.35"/>
    <row r="828" s="37" customFormat="1" x14ac:dyDescent="0.35"/>
    <row r="829" s="37" customFormat="1" x14ac:dyDescent="0.35"/>
    <row r="830" s="37" customFormat="1" x14ac:dyDescent="0.35"/>
    <row r="831" s="37" customFormat="1" x14ac:dyDescent="0.35"/>
    <row r="832" s="37" customFormat="1" x14ac:dyDescent="0.35"/>
    <row r="833" s="37" customFormat="1" x14ac:dyDescent="0.35"/>
    <row r="834" s="37" customFormat="1" x14ac:dyDescent="0.35"/>
    <row r="835" s="37" customFormat="1" x14ac:dyDescent="0.35"/>
    <row r="836" s="37" customFormat="1" x14ac:dyDescent="0.35"/>
    <row r="837" s="37" customFormat="1" x14ac:dyDescent="0.35"/>
    <row r="838" s="37" customFormat="1" x14ac:dyDescent="0.35"/>
    <row r="839" s="37" customFormat="1" x14ac:dyDescent="0.35"/>
    <row r="840" s="37" customFormat="1" x14ac:dyDescent="0.35"/>
    <row r="841" s="37" customFormat="1" x14ac:dyDescent="0.35"/>
    <row r="842" s="37" customFormat="1" x14ac:dyDescent="0.35"/>
    <row r="843" s="37" customFormat="1" x14ac:dyDescent="0.35"/>
    <row r="844" s="37" customFormat="1" x14ac:dyDescent="0.35"/>
    <row r="845" s="37" customFormat="1" x14ac:dyDescent="0.35"/>
    <row r="846" s="37" customFormat="1" x14ac:dyDescent="0.35"/>
    <row r="847" s="37" customFormat="1" x14ac:dyDescent="0.35"/>
    <row r="848" s="37" customFormat="1" x14ac:dyDescent="0.35"/>
    <row r="849" s="37" customFormat="1" x14ac:dyDescent="0.35"/>
    <row r="850" s="37" customFormat="1" x14ac:dyDescent="0.35"/>
    <row r="851" s="37" customFormat="1" x14ac:dyDescent="0.35"/>
    <row r="852" s="37" customFormat="1" x14ac:dyDescent="0.35"/>
    <row r="853" s="37" customFormat="1" x14ac:dyDescent="0.35"/>
    <row r="854" s="37" customFormat="1" x14ac:dyDescent="0.35"/>
    <row r="855" s="37" customFormat="1" x14ac:dyDescent="0.35"/>
    <row r="856" s="37" customFormat="1" x14ac:dyDescent="0.35"/>
    <row r="857" s="37" customFormat="1" x14ac:dyDescent="0.35"/>
    <row r="858" s="37" customFormat="1" x14ac:dyDescent="0.35"/>
    <row r="859" s="37" customFormat="1" x14ac:dyDescent="0.35"/>
    <row r="860" s="37" customFormat="1" x14ac:dyDescent="0.35"/>
    <row r="861" s="37" customFormat="1" x14ac:dyDescent="0.35"/>
    <row r="862" s="37" customFormat="1" x14ac:dyDescent="0.35"/>
    <row r="863" s="37" customFormat="1" x14ac:dyDescent="0.35"/>
    <row r="864" s="37" customFormat="1" x14ac:dyDescent="0.35"/>
    <row r="865" s="37" customFormat="1" x14ac:dyDescent="0.35"/>
    <row r="866" s="37" customFormat="1" x14ac:dyDescent="0.35"/>
    <row r="867" s="37" customFormat="1" x14ac:dyDescent="0.35"/>
    <row r="868" s="37" customFormat="1" x14ac:dyDescent="0.35"/>
    <row r="869" s="37" customFormat="1" x14ac:dyDescent="0.35"/>
    <row r="870" s="37" customFormat="1" x14ac:dyDescent="0.35"/>
    <row r="871" s="37" customFormat="1" x14ac:dyDescent="0.35"/>
    <row r="872" s="37" customFormat="1" x14ac:dyDescent="0.35"/>
    <row r="873" s="37" customFormat="1" x14ac:dyDescent="0.35"/>
    <row r="874" s="37" customFormat="1" x14ac:dyDescent="0.35"/>
    <row r="875" s="37" customFormat="1" x14ac:dyDescent="0.35"/>
    <row r="876" s="37" customFormat="1" x14ac:dyDescent="0.35"/>
    <row r="877" s="37" customFormat="1" x14ac:dyDescent="0.35"/>
    <row r="878" s="37" customFormat="1" x14ac:dyDescent="0.35"/>
    <row r="879" s="37" customFormat="1" x14ac:dyDescent="0.35"/>
    <row r="880" s="37" customFormat="1" x14ac:dyDescent="0.35"/>
    <row r="881" s="37" customFormat="1" x14ac:dyDescent="0.35"/>
    <row r="882" s="37" customFormat="1" x14ac:dyDescent="0.35"/>
    <row r="883" s="37" customFormat="1" x14ac:dyDescent="0.35"/>
    <row r="884" s="37" customFormat="1" x14ac:dyDescent="0.35"/>
    <row r="885" s="37" customFormat="1" x14ac:dyDescent="0.35"/>
    <row r="886" s="37" customFormat="1" x14ac:dyDescent="0.35"/>
    <row r="887" s="37" customFormat="1" x14ac:dyDescent="0.35"/>
    <row r="888" s="37" customFormat="1" x14ac:dyDescent="0.35"/>
    <row r="889" s="37" customFormat="1" x14ac:dyDescent="0.35"/>
    <row r="890" s="37" customFormat="1" x14ac:dyDescent="0.35"/>
    <row r="891" s="37" customFormat="1" x14ac:dyDescent="0.35"/>
    <row r="892" s="37" customFormat="1" x14ac:dyDescent="0.35"/>
    <row r="893" s="37" customFormat="1" x14ac:dyDescent="0.35"/>
    <row r="894" s="37" customFormat="1" x14ac:dyDescent="0.35"/>
    <row r="895" s="37" customFormat="1" x14ac:dyDescent="0.35"/>
    <row r="896" s="37" customFormat="1" x14ac:dyDescent="0.35"/>
    <row r="897" s="37" customFormat="1" x14ac:dyDescent="0.35"/>
    <row r="898" s="37" customFormat="1" x14ac:dyDescent="0.35"/>
    <row r="899" s="37" customFormat="1" x14ac:dyDescent="0.35"/>
    <row r="900" s="37" customFormat="1" x14ac:dyDescent="0.35"/>
    <row r="901" s="37" customFormat="1" x14ac:dyDescent="0.35"/>
    <row r="902" s="37" customFormat="1" x14ac:dyDescent="0.35"/>
    <row r="903" s="37" customFormat="1" x14ac:dyDescent="0.35"/>
    <row r="904" s="37" customFormat="1" x14ac:dyDescent="0.35"/>
    <row r="905" s="37" customFormat="1" x14ac:dyDescent="0.35"/>
    <row r="906" s="37" customFormat="1" x14ac:dyDescent="0.35"/>
    <row r="907" s="37" customFormat="1" x14ac:dyDescent="0.35"/>
    <row r="908" s="37" customFormat="1" x14ac:dyDescent="0.35"/>
    <row r="909" s="37" customFormat="1" x14ac:dyDescent="0.35"/>
    <row r="910" s="37" customFormat="1" x14ac:dyDescent="0.35"/>
    <row r="911" s="37" customFormat="1" x14ac:dyDescent="0.35"/>
    <row r="912" s="37" customFormat="1" x14ac:dyDescent="0.35"/>
    <row r="913" s="37" customFormat="1" x14ac:dyDescent="0.35"/>
    <row r="914" s="37" customFormat="1" x14ac:dyDescent="0.35"/>
    <row r="915" s="37" customFormat="1" x14ac:dyDescent="0.35"/>
    <row r="916" s="37" customFormat="1" x14ac:dyDescent="0.35"/>
    <row r="917" s="37" customFormat="1" x14ac:dyDescent="0.35"/>
    <row r="918" s="37" customFormat="1" x14ac:dyDescent="0.35"/>
    <row r="919" s="37" customFormat="1" x14ac:dyDescent="0.35"/>
    <row r="920" s="37" customFormat="1" x14ac:dyDescent="0.35"/>
    <row r="921" s="37" customFormat="1" x14ac:dyDescent="0.35"/>
    <row r="922" s="37" customFormat="1" x14ac:dyDescent="0.35"/>
    <row r="923" s="37" customFormat="1" x14ac:dyDescent="0.35"/>
    <row r="924" s="37" customFormat="1" x14ac:dyDescent="0.35"/>
    <row r="925" s="37" customFormat="1" x14ac:dyDescent="0.35"/>
    <row r="926" s="37" customFormat="1" x14ac:dyDescent="0.35"/>
    <row r="927" s="37" customFormat="1" x14ac:dyDescent="0.35"/>
    <row r="928" s="37" customFormat="1" x14ac:dyDescent="0.35"/>
    <row r="929" s="37" customFormat="1" x14ac:dyDescent="0.35"/>
    <row r="930" s="37" customFormat="1" x14ac:dyDescent="0.35"/>
    <row r="931" s="37" customFormat="1" x14ac:dyDescent="0.35"/>
    <row r="932" s="37" customFormat="1" x14ac:dyDescent="0.35"/>
    <row r="933" s="37" customFormat="1" x14ac:dyDescent="0.35"/>
    <row r="934" s="37" customFormat="1" x14ac:dyDescent="0.35"/>
    <row r="935" s="37" customFormat="1" x14ac:dyDescent="0.35"/>
    <row r="936" s="37" customFormat="1" x14ac:dyDescent="0.35"/>
    <row r="937" s="37" customFormat="1" x14ac:dyDescent="0.35"/>
    <row r="938" s="37" customFormat="1" x14ac:dyDescent="0.35"/>
    <row r="939" s="37" customFormat="1" x14ac:dyDescent="0.35"/>
    <row r="940" s="37" customFormat="1" x14ac:dyDescent="0.35"/>
    <row r="941" s="37" customFormat="1" x14ac:dyDescent="0.35"/>
    <row r="942" s="37" customFormat="1" x14ac:dyDescent="0.35"/>
    <row r="943" s="37" customFormat="1" x14ac:dyDescent="0.35"/>
    <row r="944" s="37" customFormat="1" x14ac:dyDescent="0.35"/>
    <row r="945" s="37" customFormat="1" x14ac:dyDescent="0.35"/>
    <row r="946" s="37" customFormat="1" x14ac:dyDescent="0.35"/>
    <row r="947" s="37" customFormat="1" x14ac:dyDescent="0.35"/>
    <row r="948" s="37" customFormat="1" x14ac:dyDescent="0.35"/>
    <row r="949" s="37" customFormat="1" x14ac:dyDescent="0.35"/>
    <row r="950" s="37" customFormat="1" x14ac:dyDescent="0.35"/>
    <row r="951" s="37" customFormat="1" x14ac:dyDescent="0.35"/>
    <row r="952" s="37" customFormat="1" x14ac:dyDescent="0.35"/>
    <row r="953" s="37" customFormat="1" x14ac:dyDescent="0.35"/>
    <row r="954" s="37" customFormat="1" x14ac:dyDescent="0.35"/>
    <row r="955" s="37" customFormat="1" x14ac:dyDescent="0.35"/>
    <row r="956" s="37" customFormat="1" x14ac:dyDescent="0.35"/>
    <row r="957" s="37" customFormat="1" x14ac:dyDescent="0.35"/>
    <row r="958" s="37" customFormat="1" x14ac:dyDescent="0.35"/>
    <row r="959" s="37" customFormat="1" x14ac:dyDescent="0.35"/>
    <row r="960" s="37" customFormat="1" x14ac:dyDescent="0.35"/>
    <row r="961" s="37" customFormat="1" x14ac:dyDescent="0.35"/>
    <row r="962" s="37" customFormat="1" x14ac:dyDescent="0.35"/>
    <row r="963" s="37" customFormat="1" x14ac:dyDescent="0.35"/>
    <row r="964" s="37" customFormat="1" x14ac:dyDescent="0.35"/>
    <row r="965" s="37" customFormat="1" x14ac:dyDescent="0.35"/>
    <row r="966" s="37" customFormat="1" x14ac:dyDescent="0.35"/>
    <row r="967" s="37" customFormat="1" x14ac:dyDescent="0.35"/>
    <row r="968" s="37" customFormat="1" x14ac:dyDescent="0.35"/>
    <row r="969" s="37" customFormat="1" x14ac:dyDescent="0.35"/>
    <row r="970" s="37" customFormat="1" x14ac:dyDescent="0.35"/>
    <row r="971" s="37" customFormat="1" x14ac:dyDescent="0.35"/>
    <row r="972" s="37" customFormat="1" x14ac:dyDescent="0.35"/>
    <row r="973" s="37" customFormat="1" x14ac:dyDescent="0.35"/>
    <row r="974" s="37" customFormat="1" x14ac:dyDescent="0.35"/>
    <row r="975" s="37" customFormat="1" x14ac:dyDescent="0.35"/>
    <row r="976" s="37" customFormat="1" x14ac:dyDescent="0.35"/>
    <row r="977" s="37" customFormat="1" x14ac:dyDescent="0.35"/>
    <row r="978" s="37" customFormat="1" x14ac:dyDescent="0.35"/>
    <row r="979" s="37" customFormat="1" x14ac:dyDescent="0.35"/>
    <row r="980" s="37" customFormat="1" x14ac:dyDescent="0.35"/>
    <row r="981" s="37" customFormat="1" x14ac:dyDescent="0.35"/>
    <row r="982" s="37" customFormat="1" x14ac:dyDescent="0.35"/>
    <row r="983" s="37" customFormat="1" x14ac:dyDescent="0.35"/>
    <row r="984" s="37" customFormat="1" x14ac:dyDescent="0.35"/>
    <row r="985" s="37" customFormat="1" x14ac:dyDescent="0.35"/>
    <row r="986" s="37" customFormat="1" x14ac:dyDescent="0.35"/>
    <row r="987" s="37" customFormat="1" x14ac:dyDescent="0.35"/>
    <row r="988" s="37" customFormat="1" x14ac:dyDescent="0.35"/>
    <row r="989" s="37" customFormat="1" x14ac:dyDescent="0.35"/>
    <row r="990" s="37" customFormat="1" x14ac:dyDescent="0.35"/>
    <row r="991" s="37" customFormat="1" x14ac:dyDescent="0.35"/>
    <row r="992" s="37" customFormat="1" x14ac:dyDescent="0.35"/>
    <row r="993" s="37" customFormat="1" x14ac:dyDescent="0.35"/>
    <row r="994" s="37" customFormat="1" x14ac:dyDescent="0.35"/>
    <row r="995" s="37" customFormat="1" x14ac:dyDescent="0.35"/>
    <row r="996" s="37" customFormat="1" x14ac:dyDescent="0.35"/>
    <row r="997" s="37" customFormat="1" x14ac:dyDescent="0.35"/>
    <row r="998" s="37" customFormat="1" x14ac:dyDescent="0.35"/>
    <row r="999" s="37" customFormat="1" x14ac:dyDescent="0.35"/>
    <row r="1000" s="37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Plan de prueba</vt:lpstr>
      <vt:lpstr>Control</vt:lpstr>
      <vt:lpstr>Datos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. SALAS ALARCON</cp:lastModifiedBy>
  <dcterms:modified xsi:type="dcterms:W3CDTF">2026-10-03T14:26:09Z</dcterms:modified>
</cp:coreProperties>
</file>